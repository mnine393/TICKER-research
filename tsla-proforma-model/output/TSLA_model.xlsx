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Historical Financials" sheetId="4" state="visible" r:id="rId4"/>
    <sheet xmlns:r="http://schemas.openxmlformats.org/officeDocument/2006/relationships" name="Forecast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;(#,##0);&quot;-&quot;"/>
    <numFmt numFmtId="165" formatCode="#,##0.00;(#,##0.00);&quot;-&quot;"/>
    <numFmt numFmtId="166" formatCode="#,##0.000"/>
    <numFmt numFmtId="167" formatCode="0.0%;(0.0%);&quot;-&quot;"/>
    <numFmt numFmtId="168" formatCode="0.000"/>
    <numFmt numFmtId="169" formatCode="0.0000"/>
    <numFmt numFmtId="170" formatCode="$#,##0.00"/>
    <numFmt numFmtId="171" formatCode="0.0%"/>
    <numFmt numFmtId="172" formatCode="0.0x"/>
  </numFmts>
  <fonts count="5">
    <font>
      <name val="Calibri"/>
      <family val="2"/>
      <color theme="1"/>
      <sz val="11"/>
      <scheme val="minor"/>
    </font>
    <font>
      <b val="1"/>
      <color rgb="001F3B5C"/>
      <sz val="13"/>
    </font>
    <font>
      <b val="1"/>
      <color rgb="00FFFFFF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1F3B5C"/>
      </patternFill>
    </fill>
    <fill>
      <patternFill patternType="solid">
        <fgColor rgb="00D9F2E6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167" fontId="4" fillId="0" borderId="1" pivotButton="0" quotePrefix="0" xfId="0"/>
    <xf numFmtId="10" fontId="0" fillId="0" borderId="0" pivotButton="0" quotePrefix="0" xfId="0"/>
    <xf numFmtId="168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Tesla, Inc. (TSLA) - Pro-forma FCFE valuation model (educational)</t>
        </is>
      </c>
    </row>
    <row r="2">
      <c r="A2" s="2" t="inlineStr">
        <is>
          <t>Generated: 2026-10-19T19:16</t>
        </is>
      </c>
    </row>
    <row r="3">
      <c r="A3" s="2" t="inlineStr">
        <is>
          <t>Scenario exported in detail: Base</t>
        </is>
      </c>
    </row>
    <row r="4">
      <c r="A4" s="2" t="inlineStr">
        <is>
          <t>Units: USD millions unless noted; per-share figures in USD; shares in millions.</t>
        </is>
      </c>
    </row>
    <row r="5">
      <c r="A5" s="2" t="inlineStr">
        <is>
          <t>Market price: $378.25 as of 2026-09-24</t>
        </is>
      </c>
    </row>
    <row r="6">
      <c r="A6" s="2" t="inlineStr">
        <is>
          <t>Implied value per share (Base): $29.05</t>
        </is>
      </c>
    </row>
    <row r="7">
      <c r="A7" s="2" t="inlineStr">
        <is>
          <t>FCFF implied value per share: $27.22</t>
        </is>
      </c>
    </row>
    <row r="8">
      <c r="A8" s="2" t="inlineStr"/>
    </row>
    <row r="9">
      <c r="A9" s="2" t="inlineStr">
        <is>
          <t>DISCLAIMER: Educational and research use only. This model is not investment advice and is not a recommendation to buy, sell or hold TSLA or any other security. Forecasts are hypothetical, depend on judgment-based assumptions that are clearly labelled, and may be materially wrong. Historical data are taken from Tesla's SEC filings; verify all figures against the original documents before relying on them. Past performance does not predict future results.</t>
        </is>
      </c>
    </row>
    <row r="10">
      <c r="A10" s="2" t="inlineStr"/>
    </row>
    <row r="11">
      <c r="A11" s="2" t="inlineStr">
        <is>
          <t>Data status this session:</t>
        </is>
      </c>
    </row>
    <row r="12">
      <c r="A12" s="2" t="inlineStr">
        <is>
          <t xml:space="preserve">  [info] seed: Seed data compiled 2026-09-24 loaded (used wherever live data is unavailable).</t>
        </is>
      </c>
    </row>
    <row r="13">
      <c r="A13" s="2" t="inlineStr">
        <is>
          <t xml:space="preserve">  [fallback] network: Offline mode selected; seed data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  <col width="24" customWidth="1" min="3" max="3"/>
    <col width="14" customWidth="1" min="4" max="4"/>
    <col width="60" customWidth="1" min="5" max="5"/>
    <col width="11" customWidth="1" min="6" max="6"/>
    <col width="60" customWidth="1" min="7" max="7"/>
    <col width="22" customWidth="1" min="8" max="8"/>
    <col width="60" customWidth="1" min="9" max="9"/>
    <col width="58" customWidth="1" min="10" max="10"/>
    <col width="41" customWidth="1" min="11" max="11"/>
    <col width="60" customWidth="1" min="12" max="12"/>
    <col width="60" customWidth="1" min="13" max="13"/>
  </cols>
  <sheetData>
    <row r="1">
      <c r="A1" s="1" t="inlineStr">
        <is>
          <t>Source table - every historical line item, obligation and market input</t>
        </is>
      </c>
    </row>
    <row r="2">
      <c r="A2" s="3" t="inlineStr">
        <is>
          <t>Item ID</t>
        </is>
      </c>
      <c r="B2" s="3" t="inlineStr">
        <is>
          <t>Line item</t>
        </is>
      </c>
      <c r="C2" s="3" t="inlineStr">
        <is>
          <t>Section</t>
        </is>
      </c>
      <c r="D2" s="3" t="inlineStr">
        <is>
          <t>Period</t>
        </is>
      </c>
      <c r="E2" s="3" t="inlineStr">
        <is>
          <t>Value</t>
        </is>
      </c>
      <c r="F2" s="3" t="inlineStr">
        <is>
          <t>Unit</t>
        </is>
      </c>
      <c r="G2" s="3" t="inlineStr">
        <is>
          <t>Filing / document</t>
        </is>
      </c>
      <c r="H2" s="3" t="inlineStr">
        <is>
          <t>Accession</t>
        </is>
      </c>
      <c r="I2" s="3" t="inlineStr">
        <is>
          <t>Page / section</t>
        </is>
      </c>
      <c r="J2" s="3" t="inlineStr">
        <is>
          <t>Source type</t>
        </is>
      </c>
      <c r="K2" s="3" t="inlineStr">
        <is>
          <t>Verification</t>
        </is>
      </c>
      <c r="L2" s="3" t="inlineStr">
        <is>
          <t>Notes</t>
        </is>
      </c>
      <c r="M2" s="3" t="inlineStr">
        <is>
          <t>URL</t>
        </is>
      </c>
    </row>
    <row r="3">
      <c r="A3" t="inlineStr">
        <is>
          <t>rev_auto_sales</t>
        </is>
      </c>
      <c r="B3" t="inlineStr">
        <is>
          <t>Automotive sales</t>
        </is>
      </c>
      <c r="C3" t="inlineStr">
        <is>
          <t>Income statement</t>
        </is>
      </c>
      <c r="D3" t="inlineStr">
        <is>
          <t>FY2023</t>
        </is>
      </c>
      <c r="E3" s="4" t="n">
        <v>78509</v>
      </c>
      <c r="F3" t="inlineStr">
        <is>
          <t>USD m</t>
        </is>
      </c>
      <c r="G3" t="inlineStr">
        <is>
          <t>10-K - FY2025 (year ended 2025-12-31)</t>
        </is>
      </c>
      <c r="H3" t="inlineStr">
        <is>
          <t>0001628280-26-003952</t>
        </is>
      </c>
      <c r="I3" t="inlineStr">
        <is>
          <t>Part II Item 8, Consolidated Statements of Operations, p.50</t>
        </is>
      </c>
      <c r="J3" t="inlineStr">
        <is>
          <t>Annual report (10-K)</t>
        </is>
      </c>
      <c r="K3" t="inlineStr">
        <is>
          <t>not XBRL-tagged (read from filing text)</t>
        </is>
      </c>
      <c r="L3" t="inlineStr"/>
      <c r="M3" t="inlineStr">
        <is>
          <t>https://www.sec.gov/Archives/edgar/data/1318605/000162828026003952/tsla-20251231.htm</t>
        </is>
      </c>
    </row>
    <row r="4">
      <c r="A4" t="inlineStr">
        <is>
          <t>rev_auto_sales</t>
        </is>
      </c>
      <c r="B4" t="inlineStr">
        <is>
          <t>Automotive sales</t>
        </is>
      </c>
      <c r="C4" t="inlineStr">
        <is>
          <t>Income statement</t>
        </is>
      </c>
      <c r="D4" t="inlineStr">
        <is>
          <t>FY2024</t>
        </is>
      </c>
      <c r="E4" s="4" t="n">
        <v>72480</v>
      </c>
      <c r="F4" t="inlineStr">
        <is>
          <t>USD m</t>
        </is>
      </c>
      <c r="G4" t="inlineStr">
        <is>
          <t>10-K - FY2025 (year ended 2025-12-31)</t>
        </is>
      </c>
      <c r="H4" t="inlineStr">
        <is>
          <t>0001628280-26-003952</t>
        </is>
      </c>
      <c r="I4" t="inlineStr">
        <is>
          <t>Part II Item 8, Consolidated Statements of Operations, p.50</t>
        </is>
      </c>
      <c r="J4" t="inlineStr">
        <is>
          <t>Annual report (10-K)</t>
        </is>
      </c>
      <c r="K4" t="inlineStr">
        <is>
          <t>not XBRL-tagged (read from filing text)</t>
        </is>
      </c>
      <c r="L4" t="inlineStr"/>
      <c r="M4" t="inlineStr">
        <is>
          <t>https://www.sec.gov/Archives/edgar/data/1318605/000162828026003952/tsla-20251231.htm</t>
        </is>
      </c>
    </row>
    <row r="5">
      <c r="A5" t="inlineStr">
        <is>
          <t>rev_auto_sales</t>
        </is>
      </c>
      <c r="B5" t="inlineStr">
        <is>
          <t>Automotive sales</t>
        </is>
      </c>
      <c r="C5" t="inlineStr">
        <is>
          <t>Income statement</t>
        </is>
      </c>
      <c r="D5" t="inlineStr">
        <is>
          <t>FY2025</t>
        </is>
      </c>
      <c r="E5" s="4" t="n">
        <v>65821</v>
      </c>
      <c r="F5" t="inlineStr">
        <is>
          <t>USD m</t>
        </is>
      </c>
      <c r="G5" t="inlineStr">
        <is>
          <t>10-K - FY2025 (year ended 2025-12-31)</t>
        </is>
      </c>
      <c r="H5" t="inlineStr">
        <is>
          <t>0001628280-26-003952</t>
        </is>
      </c>
      <c r="I5" t="inlineStr">
        <is>
          <t>Part II Item 8, Consolidated Statements of Operations, p.50</t>
        </is>
      </c>
      <c r="J5" t="inlineStr">
        <is>
          <t>Annual report (10-K)</t>
        </is>
      </c>
      <c r="K5" t="inlineStr">
        <is>
          <t>not XBRL-tagged (read from filing text)</t>
        </is>
      </c>
      <c r="L5" t="inlineStr"/>
      <c r="M5" t="inlineStr">
        <is>
          <t>https://www.sec.gov/Archives/edgar/data/1318605/000162828026003952/tsla-20251231.htm</t>
        </is>
      </c>
    </row>
    <row r="6">
      <c r="A6" t="inlineStr">
        <is>
          <t>rev_auto_sales</t>
        </is>
      </c>
      <c r="B6" t="inlineStr">
        <is>
          <t>Automotive sales</t>
        </is>
      </c>
      <c r="C6" t="inlineStr">
        <is>
          <t>Income statement</t>
        </is>
      </c>
      <c r="D6" t="inlineStr">
        <is>
          <t>H1_2026</t>
        </is>
      </c>
      <c r="E6" s="4" t="n">
        <v>35479</v>
      </c>
      <c r="F6" t="inlineStr">
        <is>
          <t>USD m</t>
        </is>
      </c>
      <c r="G6" t="inlineStr">
        <is>
          <t>10-Q - Q2 2026 (quarter ended 2026-06-30)</t>
        </is>
      </c>
      <c r="H6" t="inlineStr">
        <is>
          <t>0001628280-26-049270</t>
        </is>
      </c>
      <c r="I6" t="inlineStr">
        <is>
          <t>Part I Item 1, Consolidated Statements of Operations (six months), p.5</t>
        </is>
      </c>
      <c r="J6" t="inlineStr">
        <is>
          <t>Quarterly report (10-Q)</t>
        </is>
      </c>
      <c r="K6" t="inlineStr">
        <is>
          <t>not XBRL-tagged (read from filing text)</t>
        </is>
      </c>
      <c r="L6" t="inlineStr"/>
      <c r="M6" t="inlineStr">
        <is>
          <t>https://www.sec.gov/Archives/edgar/data/1318605/000162828026049270/tsla-20260630.htm</t>
        </is>
      </c>
    </row>
    <row r="7">
      <c r="A7" t="inlineStr">
        <is>
          <t>rev_reg_credits</t>
        </is>
      </c>
      <c r="B7" t="inlineStr">
        <is>
          <t>Automotive regulatory credits</t>
        </is>
      </c>
      <c r="C7" t="inlineStr">
        <is>
          <t>Income statement</t>
        </is>
      </c>
      <c r="D7" t="inlineStr">
        <is>
          <t>FY2023</t>
        </is>
      </c>
      <c r="E7" s="4" t="n">
        <v>1790</v>
      </c>
      <c r="F7" t="inlineStr">
        <is>
          <t>USD m</t>
        </is>
      </c>
      <c r="G7" t="inlineStr">
        <is>
          <t>10-K - FY2025 (year ended 2025-12-31)</t>
        </is>
      </c>
      <c r="H7" t="inlineStr">
        <is>
          <t>0001628280-26-003952</t>
        </is>
      </c>
      <c r="I7" t="inlineStr">
        <is>
          <t>Part II Item 8, Consolidated Statements of Operations, p.50</t>
        </is>
      </c>
      <c r="J7" t="inlineStr">
        <is>
          <t>Annual report (10-K)</t>
        </is>
      </c>
      <c r="K7" t="inlineStr">
        <is>
          <t>not XBRL-tagged (read from filing text)</t>
        </is>
      </c>
      <c r="L7" t="inlineStr"/>
      <c r="M7" t="inlineStr">
        <is>
          <t>https://www.sec.gov/Archives/edgar/data/1318605/000162828026003952/tsla-20251231.htm</t>
        </is>
      </c>
    </row>
    <row r="8">
      <c r="A8" t="inlineStr">
        <is>
          <t>rev_reg_credits</t>
        </is>
      </c>
      <c r="B8" t="inlineStr">
        <is>
          <t>Automotive regulatory credits</t>
        </is>
      </c>
      <c r="C8" t="inlineStr">
        <is>
          <t>Income statement</t>
        </is>
      </c>
      <c r="D8" t="inlineStr">
        <is>
          <t>FY2024</t>
        </is>
      </c>
      <c r="E8" s="4" t="n">
        <v>2763</v>
      </c>
      <c r="F8" t="inlineStr">
        <is>
          <t>USD m</t>
        </is>
      </c>
      <c r="G8" t="inlineStr">
        <is>
          <t>10-K - FY2025 (year ended 2025-12-31)</t>
        </is>
      </c>
      <c r="H8" t="inlineStr">
        <is>
          <t>0001628280-26-003952</t>
        </is>
      </c>
      <c r="I8" t="inlineStr">
        <is>
          <t>Part II Item 8, Consolidated Statements of Operations, p.50</t>
        </is>
      </c>
      <c r="J8" t="inlineStr">
        <is>
          <t>Annual report (10-K)</t>
        </is>
      </c>
      <c r="K8" t="inlineStr">
        <is>
          <t>not XBRL-tagged (read from filing text)</t>
        </is>
      </c>
      <c r="L8" t="inlineStr"/>
      <c r="M8" t="inlineStr">
        <is>
          <t>https://www.sec.gov/Archives/edgar/data/1318605/000162828026003952/tsla-20251231.htm</t>
        </is>
      </c>
    </row>
    <row r="9">
      <c r="A9" t="inlineStr">
        <is>
          <t>rev_reg_credits</t>
        </is>
      </c>
      <c r="B9" t="inlineStr">
        <is>
          <t>Automotive regulatory credits</t>
        </is>
      </c>
      <c r="C9" t="inlineStr">
        <is>
          <t>Income statement</t>
        </is>
      </c>
      <c r="D9" t="inlineStr">
        <is>
          <t>FY2025</t>
        </is>
      </c>
      <c r="E9" s="4" t="n">
        <v>1993</v>
      </c>
      <c r="F9" t="inlineStr">
        <is>
          <t>USD m</t>
        </is>
      </c>
      <c r="G9" t="inlineStr">
        <is>
          <t>10-K - FY2025 (year ended 2025-12-31)</t>
        </is>
      </c>
      <c r="H9" t="inlineStr">
        <is>
          <t>0001628280-26-003952</t>
        </is>
      </c>
      <c r="I9" t="inlineStr">
        <is>
          <t>Part II Item 8, Consolidated Statements of Operations, p.50</t>
        </is>
      </c>
      <c r="J9" t="inlineStr">
        <is>
          <t>Annual report (10-K)</t>
        </is>
      </c>
      <c r="K9" t="inlineStr">
        <is>
          <t>not XBRL-tagged (read from filing text)</t>
        </is>
      </c>
      <c r="L9" t="inlineStr"/>
      <c r="M9" t="inlineStr">
        <is>
          <t>https://www.sec.gov/Archives/edgar/data/1318605/000162828026003952/tsla-20251231.htm</t>
        </is>
      </c>
    </row>
    <row r="10">
      <c r="A10" t="inlineStr">
        <is>
          <t>rev_reg_credits</t>
        </is>
      </c>
      <c r="B10" t="inlineStr">
        <is>
          <t>Automotive regulatory credits</t>
        </is>
      </c>
      <c r="C10" t="inlineStr">
        <is>
          <t>Income statement</t>
        </is>
      </c>
      <c r="D10" t="inlineStr">
        <is>
          <t>H1_2026</t>
        </is>
      </c>
      <c r="E10" s="4" t="n">
        <v>526</v>
      </c>
      <c r="F10" t="inlineStr">
        <is>
          <t>USD m</t>
        </is>
      </c>
      <c r="G10" t="inlineStr">
        <is>
          <t>10-Q - Q2 2026 (quarter ended 2026-06-30)</t>
        </is>
      </c>
      <c r="H10" t="inlineStr">
        <is>
          <t>0001628280-26-049270</t>
        </is>
      </c>
      <c r="I10" t="inlineStr">
        <is>
          <t>Part I Item 1, Consolidated Statements of Operations (six months), p.5</t>
        </is>
      </c>
      <c r="J10" t="inlineStr">
        <is>
          <t>Quarterly report (10-Q)</t>
        </is>
      </c>
      <c r="K10" t="inlineStr">
        <is>
          <t>not XBRL-tagged (read from filing text)</t>
        </is>
      </c>
      <c r="L10" t="inlineStr"/>
      <c r="M10" t="inlineStr">
        <is>
          <t>https://www.sec.gov/Archives/edgar/data/1318605/000162828026049270/tsla-20260630.htm</t>
        </is>
      </c>
    </row>
    <row r="11">
      <c r="A11" t="inlineStr">
        <is>
          <t>rev_auto_leasing</t>
        </is>
      </c>
      <c r="B11" t="inlineStr">
        <is>
          <t>Automotive leasing</t>
        </is>
      </c>
      <c r="C11" t="inlineStr">
        <is>
          <t>Income statement</t>
        </is>
      </c>
      <c r="D11" t="inlineStr">
        <is>
          <t>FY2023</t>
        </is>
      </c>
      <c r="E11" s="4" t="n">
        <v>2120</v>
      </c>
      <c r="F11" t="inlineStr">
        <is>
          <t>USD m</t>
        </is>
      </c>
      <c r="G11" t="inlineStr">
        <is>
          <t>10-K - FY2025 (year ended 2025-12-31)</t>
        </is>
      </c>
      <c r="H11" t="inlineStr">
        <is>
          <t>0001628280-26-003952</t>
        </is>
      </c>
      <c r="I11" t="inlineStr">
        <is>
          <t>Part II Item 8, Consolidated Statements of Operations, p.50</t>
        </is>
      </c>
      <c r="J11" t="inlineStr">
        <is>
          <t>Annual report (10-K)</t>
        </is>
      </c>
      <c r="K11" t="inlineStr">
        <is>
          <t>not XBRL-tagged (read from filing text)</t>
        </is>
      </c>
      <c r="L11" t="inlineStr"/>
      <c r="M11" t="inlineStr">
        <is>
          <t>https://www.sec.gov/Archives/edgar/data/1318605/000162828026003952/tsla-20251231.htm</t>
        </is>
      </c>
    </row>
    <row r="12">
      <c r="A12" t="inlineStr">
        <is>
          <t>rev_auto_leasing</t>
        </is>
      </c>
      <c r="B12" t="inlineStr">
        <is>
          <t>Automotive leasing</t>
        </is>
      </c>
      <c r="C12" t="inlineStr">
        <is>
          <t>Income statement</t>
        </is>
      </c>
      <c r="D12" t="inlineStr">
        <is>
          <t>FY2024</t>
        </is>
      </c>
      <c r="E12" s="4" t="n">
        <v>1827</v>
      </c>
      <c r="F12" t="inlineStr">
        <is>
          <t>USD m</t>
        </is>
      </c>
      <c r="G12" t="inlineStr">
        <is>
          <t>10-K - FY2025 (year ended 2025-12-31)</t>
        </is>
      </c>
      <c r="H12" t="inlineStr">
        <is>
          <t>0001628280-26-003952</t>
        </is>
      </c>
      <c r="I12" t="inlineStr">
        <is>
          <t>Part II Item 8, Consolidated Statements of Operations, p.50</t>
        </is>
      </c>
      <c r="J12" t="inlineStr">
        <is>
          <t>Annual report (10-K)</t>
        </is>
      </c>
      <c r="K12" t="inlineStr">
        <is>
          <t>not XBRL-tagged (read from filing text)</t>
        </is>
      </c>
      <c r="L12" t="inlineStr"/>
      <c r="M12" t="inlineStr">
        <is>
          <t>https://www.sec.gov/Archives/edgar/data/1318605/000162828026003952/tsla-20251231.htm</t>
        </is>
      </c>
    </row>
    <row r="13">
      <c r="A13" t="inlineStr">
        <is>
          <t>rev_auto_leasing</t>
        </is>
      </c>
      <c r="B13" t="inlineStr">
        <is>
          <t>Automotive leasing</t>
        </is>
      </c>
      <c r="C13" t="inlineStr">
        <is>
          <t>Income statement</t>
        </is>
      </c>
      <c r="D13" t="inlineStr">
        <is>
          <t>FY2025</t>
        </is>
      </c>
      <c r="E13" s="4" t="n">
        <v>1712</v>
      </c>
      <c r="F13" t="inlineStr">
        <is>
          <t>USD m</t>
        </is>
      </c>
      <c r="G13" t="inlineStr">
        <is>
          <t>10-K - FY2025 (year ended 2025-12-31)</t>
        </is>
      </c>
      <c r="H13" t="inlineStr">
        <is>
          <t>0001628280-26-003952</t>
        </is>
      </c>
      <c r="I13" t="inlineStr">
        <is>
          <t>Part II Item 8, Consolidated Statements of Operations, p.50</t>
        </is>
      </c>
      <c r="J13" t="inlineStr">
        <is>
          <t>Annual report (10-K)</t>
        </is>
      </c>
      <c r="K13" t="inlineStr">
        <is>
          <t>not XBRL-tagged (read from filing text)</t>
        </is>
      </c>
      <c r="L13" t="inlineStr"/>
      <c r="M13" t="inlineStr">
        <is>
          <t>https://www.sec.gov/Archives/edgar/data/1318605/000162828026003952/tsla-20251231.htm</t>
        </is>
      </c>
    </row>
    <row r="14">
      <c r="A14" t="inlineStr">
        <is>
          <t>rev_auto_leasing</t>
        </is>
      </c>
      <c r="B14" t="inlineStr">
        <is>
          <t>Automotive leasing</t>
        </is>
      </c>
      <c r="C14" t="inlineStr">
        <is>
          <t>Income statement</t>
        </is>
      </c>
      <c r="D14" t="inlineStr">
        <is>
          <t>H1_2026</t>
        </is>
      </c>
      <c r="E14" s="4" t="n">
        <v>745</v>
      </c>
      <c r="F14" t="inlineStr">
        <is>
          <t>USD m</t>
        </is>
      </c>
      <c r="G14" t="inlineStr">
        <is>
          <t>10-Q - Q2 2026 (quarter ended 2026-06-30)</t>
        </is>
      </c>
      <c r="H14" t="inlineStr">
        <is>
          <t>0001628280-26-049270</t>
        </is>
      </c>
      <c r="I14" t="inlineStr">
        <is>
          <t>Part I Item 1, Consolidated Statements of Operations (six months), p.5</t>
        </is>
      </c>
      <c r="J14" t="inlineStr">
        <is>
          <t>Quarterly report (10-Q)</t>
        </is>
      </c>
      <c r="K14" t="inlineStr">
        <is>
          <t>not XBRL-tagged (read from filing text)</t>
        </is>
      </c>
      <c r="L14" t="inlineStr"/>
      <c r="M14" t="inlineStr">
        <is>
          <t>https://www.sec.gov/Archives/edgar/data/1318605/000162828026049270/tsla-20260630.htm</t>
        </is>
      </c>
    </row>
    <row r="15">
      <c r="A15" t="inlineStr">
        <is>
          <t>rev_energy</t>
        </is>
      </c>
      <c r="B15" t="inlineStr">
        <is>
          <t>Energy generation and storage revenue</t>
        </is>
      </c>
      <c r="C15" t="inlineStr">
        <is>
          <t>Income statement</t>
        </is>
      </c>
      <c r="D15" t="inlineStr">
        <is>
          <t>FY2023</t>
        </is>
      </c>
      <c r="E15" s="4" t="n">
        <v>6035</v>
      </c>
      <c r="F15" t="inlineStr">
        <is>
          <t>USD m</t>
        </is>
      </c>
      <c r="G15" t="inlineStr">
        <is>
          <t>10-K - FY2025 (year ended 2025-12-31)</t>
        </is>
      </c>
      <c r="H15" t="inlineStr">
        <is>
          <t>0001628280-26-003952</t>
        </is>
      </c>
      <c r="I15" t="inlineStr">
        <is>
          <t>Part II Item 8, Consolidated Statements of Operations, p.50</t>
        </is>
      </c>
      <c r="J15" t="inlineStr">
        <is>
          <t>Annual report (10-K)</t>
        </is>
      </c>
      <c r="K15" t="inlineStr">
        <is>
          <t>not XBRL-tagged (read from filing text)</t>
        </is>
      </c>
      <c r="L15" t="inlineStr"/>
      <c r="M15" t="inlineStr">
        <is>
          <t>https://www.sec.gov/Archives/edgar/data/1318605/000162828026003952/tsla-20251231.htm</t>
        </is>
      </c>
    </row>
    <row r="16">
      <c r="A16" t="inlineStr">
        <is>
          <t>rev_energy</t>
        </is>
      </c>
      <c r="B16" t="inlineStr">
        <is>
          <t>Energy generation and storage revenue</t>
        </is>
      </c>
      <c r="C16" t="inlineStr">
        <is>
          <t>Income statement</t>
        </is>
      </c>
      <c r="D16" t="inlineStr">
        <is>
          <t>FY2024</t>
        </is>
      </c>
      <c r="E16" s="4" t="n">
        <v>10086</v>
      </c>
      <c r="F16" t="inlineStr">
        <is>
          <t>USD m</t>
        </is>
      </c>
      <c r="G16" t="inlineStr">
        <is>
          <t>10-K - FY2025 (year ended 2025-12-31)</t>
        </is>
      </c>
      <c r="H16" t="inlineStr">
        <is>
          <t>0001628280-26-003952</t>
        </is>
      </c>
      <c r="I16" t="inlineStr">
        <is>
          <t>Part II Item 8, Consolidated Statements of Operations, p.50</t>
        </is>
      </c>
      <c r="J16" t="inlineStr">
        <is>
          <t>Annual report (10-K)</t>
        </is>
      </c>
      <c r="K16" t="inlineStr">
        <is>
          <t>not XBRL-tagged (read from filing text)</t>
        </is>
      </c>
      <c r="L16" t="inlineStr"/>
      <c r="M16" t="inlineStr">
        <is>
          <t>https://www.sec.gov/Archives/edgar/data/1318605/000162828026003952/tsla-20251231.htm</t>
        </is>
      </c>
    </row>
    <row r="17">
      <c r="A17" t="inlineStr">
        <is>
          <t>rev_energy</t>
        </is>
      </c>
      <c r="B17" t="inlineStr">
        <is>
          <t>Energy generation and storage revenue</t>
        </is>
      </c>
      <c r="C17" t="inlineStr">
        <is>
          <t>Income statement</t>
        </is>
      </c>
      <c r="D17" t="inlineStr">
        <is>
          <t>FY2025</t>
        </is>
      </c>
      <c r="E17" s="4" t="n">
        <v>12771</v>
      </c>
      <c r="F17" t="inlineStr">
        <is>
          <t>USD m</t>
        </is>
      </c>
      <c r="G17" t="inlineStr">
        <is>
          <t>10-K - FY2025 (year ended 2025-12-31)</t>
        </is>
      </c>
      <c r="H17" t="inlineStr">
        <is>
          <t>0001628280-26-003952</t>
        </is>
      </c>
      <c r="I17" t="inlineStr">
        <is>
          <t>Part II Item 8, Consolidated Statements of Operations, p.50</t>
        </is>
      </c>
      <c r="J17" t="inlineStr">
        <is>
          <t>Annual report (10-K)</t>
        </is>
      </c>
      <c r="K17" t="inlineStr">
        <is>
          <t>not XBRL-tagged (read from filing text)</t>
        </is>
      </c>
      <c r="L17" t="inlineStr"/>
      <c r="M17" t="inlineStr">
        <is>
          <t>https://www.sec.gov/Archives/edgar/data/1318605/000162828026003952/tsla-20251231.htm</t>
        </is>
      </c>
    </row>
    <row r="18">
      <c r="A18" t="inlineStr">
        <is>
          <t>rev_energy</t>
        </is>
      </c>
      <c r="B18" t="inlineStr">
        <is>
          <t>Energy generation and storage revenue</t>
        </is>
      </c>
      <c r="C18" t="inlineStr">
        <is>
          <t>Income statement</t>
        </is>
      </c>
      <c r="D18" t="inlineStr">
        <is>
          <t>H1_2026</t>
        </is>
      </c>
      <c r="E18" s="4" t="n">
        <v>5547</v>
      </c>
      <c r="F18" t="inlineStr">
        <is>
          <t>USD m</t>
        </is>
      </c>
      <c r="G18" t="inlineStr">
        <is>
          <t>10-Q - Q2 2026 (quarter ended 2026-06-30)</t>
        </is>
      </c>
      <c r="H18" t="inlineStr">
        <is>
          <t>0001628280-26-049270</t>
        </is>
      </c>
      <c r="I18" t="inlineStr">
        <is>
          <t>Part I Item 1, Consolidated Statements of Operations (six months), p.5</t>
        </is>
      </c>
      <c r="J18" t="inlineStr">
        <is>
          <t>Quarterly report (10-Q)</t>
        </is>
      </c>
      <c r="K18" t="inlineStr">
        <is>
          <t>not XBRL-tagged (read from filing text)</t>
        </is>
      </c>
      <c r="L18" t="inlineStr"/>
      <c r="M18" t="inlineStr">
        <is>
          <t>https://www.sec.gov/Archives/edgar/data/1318605/000162828026049270/tsla-20260630.htm</t>
        </is>
      </c>
    </row>
    <row r="19">
      <c r="A19" t="inlineStr">
        <is>
          <t>rev_services</t>
        </is>
      </c>
      <c r="B19" t="inlineStr">
        <is>
          <t>Services and other revenue</t>
        </is>
      </c>
      <c r="C19" t="inlineStr">
        <is>
          <t>Income statement</t>
        </is>
      </c>
      <c r="D19" t="inlineStr">
        <is>
          <t>FY2023</t>
        </is>
      </c>
      <c r="E19" s="4" t="n">
        <v>8319</v>
      </c>
      <c r="F19" t="inlineStr">
        <is>
          <t>USD m</t>
        </is>
      </c>
      <c r="G19" t="inlineStr">
        <is>
          <t>10-K - FY2025 (year ended 2025-12-31)</t>
        </is>
      </c>
      <c r="H19" t="inlineStr">
        <is>
          <t>0001628280-26-003952</t>
        </is>
      </c>
      <c r="I19" t="inlineStr">
        <is>
          <t>Part II Item 8, Consolidated Statements of Operations, p.50</t>
        </is>
      </c>
      <c r="J19" t="inlineStr">
        <is>
          <t>Annual report (10-K)</t>
        </is>
      </c>
      <c r="K19" t="inlineStr">
        <is>
          <t>not XBRL-tagged (read from filing text)</t>
        </is>
      </c>
      <c r="L19" t="inlineStr"/>
      <c r="M19" t="inlineStr">
        <is>
          <t>https://www.sec.gov/Archives/edgar/data/1318605/000162828026003952/tsla-20251231.htm</t>
        </is>
      </c>
    </row>
    <row r="20">
      <c r="A20" t="inlineStr">
        <is>
          <t>rev_services</t>
        </is>
      </c>
      <c r="B20" t="inlineStr">
        <is>
          <t>Services and other revenue</t>
        </is>
      </c>
      <c r="C20" t="inlineStr">
        <is>
          <t>Income statement</t>
        </is>
      </c>
      <c r="D20" t="inlineStr">
        <is>
          <t>FY2024</t>
        </is>
      </c>
      <c r="E20" s="4" t="n">
        <v>10534</v>
      </c>
      <c r="F20" t="inlineStr">
        <is>
          <t>USD m</t>
        </is>
      </c>
      <c r="G20" t="inlineStr">
        <is>
          <t>10-K - FY2025 (year ended 2025-12-31)</t>
        </is>
      </c>
      <c r="H20" t="inlineStr">
        <is>
          <t>0001628280-26-003952</t>
        </is>
      </c>
      <c r="I20" t="inlineStr">
        <is>
          <t>Part II Item 8, Consolidated Statements of Operations, p.50</t>
        </is>
      </c>
      <c r="J20" t="inlineStr">
        <is>
          <t>Annual report (10-K)</t>
        </is>
      </c>
      <c r="K20" t="inlineStr">
        <is>
          <t>not XBRL-tagged (read from filing text)</t>
        </is>
      </c>
      <c r="L20" t="inlineStr"/>
      <c r="M20" t="inlineStr">
        <is>
          <t>https://www.sec.gov/Archives/edgar/data/1318605/000162828026003952/tsla-20251231.htm</t>
        </is>
      </c>
    </row>
    <row r="21">
      <c r="A21" t="inlineStr">
        <is>
          <t>rev_services</t>
        </is>
      </c>
      <c r="B21" t="inlineStr">
        <is>
          <t>Services and other revenue</t>
        </is>
      </c>
      <c r="C21" t="inlineStr">
        <is>
          <t>Income statement</t>
        </is>
      </c>
      <c r="D21" t="inlineStr">
        <is>
          <t>FY2025</t>
        </is>
      </c>
      <c r="E21" s="4" t="n">
        <v>12530</v>
      </c>
      <c r="F21" t="inlineStr">
        <is>
          <t>USD m</t>
        </is>
      </c>
      <c r="G21" t="inlineStr">
        <is>
          <t>10-K - FY2025 (year ended 2025-12-31)</t>
        </is>
      </c>
      <c r="H21" t="inlineStr">
        <is>
          <t>0001628280-26-003952</t>
        </is>
      </c>
      <c r="I21" t="inlineStr">
        <is>
          <t>Part II Item 8, Consolidated Statements of Operations, p.50</t>
        </is>
      </c>
      <c r="J21" t="inlineStr">
        <is>
          <t>Annual report (10-K)</t>
        </is>
      </c>
      <c r="K21" t="inlineStr">
        <is>
          <t>not XBRL-tagged (read from filing text)</t>
        </is>
      </c>
      <c r="L21" t="inlineStr"/>
      <c r="M21" t="inlineStr">
        <is>
          <t>https://www.sec.gov/Archives/edgar/data/1318605/000162828026003952/tsla-20251231.htm</t>
        </is>
      </c>
    </row>
    <row r="22">
      <c r="A22" t="inlineStr">
        <is>
          <t>rev_services</t>
        </is>
      </c>
      <c r="B22" t="inlineStr">
        <is>
          <t>Services and other revenue</t>
        </is>
      </c>
      <c r="C22" t="inlineStr">
        <is>
          <t>Income statement</t>
        </is>
      </c>
      <c r="D22" t="inlineStr">
        <is>
          <t>H1_2026</t>
        </is>
      </c>
      <c r="E22" s="4" t="n">
        <v>8326</v>
      </c>
      <c r="F22" t="inlineStr">
        <is>
          <t>USD m</t>
        </is>
      </c>
      <c r="G22" t="inlineStr">
        <is>
          <t>10-Q - Q2 2026 (quarter ended 2026-06-30)</t>
        </is>
      </c>
      <c r="H22" t="inlineStr">
        <is>
          <t>0001628280-26-049270</t>
        </is>
      </c>
      <c r="I22" t="inlineStr">
        <is>
          <t>Part I Item 1, Consolidated Statements of Operations (six months), p.5</t>
        </is>
      </c>
      <c r="J22" t="inlineStr">
        <is>
          <t>Quarterly report (10-Q)</t>
        </is>
      </c>
      <c r="K22" t="inlineStr">
        <is>
          <t>not XBRL-tagged (read from filing text)</t>
        </is>
      </c>
      <c r="L22" t="inlineStr"/>
      <c r="M22" t="inlineStr">
        <is>
          <t>https://www.sec.gov/Archives/edgar/data/1318605/000162828026049270/tsla-20260630.htm</t>
        </is>
      </c>
    </row>
    <row r="23">
      <c r="A23" t="inlineStr">
        <is>
          <t>rev_total</t>
        </is>
      </c>
      <c r="B23" t="inlineStr">
        <is>
          <t>Total revenues</t>
        </is>
      </c>
      <c r="C23" t="inlineStr">
        <is>
          <t>Income statement</t>
        </is>
      </c>
      <c r="D23" t="inlineStr">
        <is>
          <t>FY2023</t>
        </is>
      </c>
      <c r="E23" s="4" t="n">
        <v>96773</v>
      </c>
      <c r="F23" t="inlineStr">
        <is>
          <t>USD m</t>
        </is>
      </c>
      <c r="G23" t="inlineStr">
        <is>
          <t>10-K - FY2025 (year ended 2025-12-31)</t>
        </is>
      </c>
      <c r="H23" t="inlineStr">
        <is>
          <t>0001628280-26-003952</t>
        </is>
      </c>
      <c r="I23" t="inlineStr">
        <is>
          <t>Part II Item 8, Consolidated Statements of Operations, p.50</t>
        </is>
      </c>
      <c r="J23" t="inlineStr">
        <is>
          <t>Annual report (10-K)</t>
        </is>
      </c>
      <c r="K23" t="inlineStr">
        <is>
          <t>not XBRL-tagged (read from filing text)</t>
        </is>
      </c>
      <c r="L23" t="inlineStr"/>
      <c r="M23" t="inlineStr">
        <is>
          <t>https://www.sec.gov/Archives/edgar/data/1318605/000162828026003952/tsla-20251231.htm</t>
        </is>
      </c>
    </row>
    <row r="24">
      <c r="A24" t="inlineStr">
        <is>
          <t>rev_total</t>
        </is>
      </c>
      <c r="B24" t="inlineStr">
        <is>
          <t>Total revenues</t>
        </is>
      </c>
      <c r="C24" t="inlineStr">
        <is>
          <t>Income statement</t>
        </is>
      </c>
      <c r="D24" t="inlineStr">
        <is>
          <t>FY2024</t>
        </is>
      </c>
      <c r="E24" s="4" t="n">
        <v>97690</v>
      </c>
      <c r="F24" t="inlineStr">
        <is>
          <t>USD m</t>
        </is>
      </c>
      <c r="G24" t="inlineStr">
        <is>
          <t>10-K - FY2025 (year ended 2025-12-31)</t>
        </is>
      </c>
      <c r="H24" t="inlineStr">
        <is>
          <t>0001628280-26-003952</t>
        </is>
      </c>
      <c r="I24" t="inlineStr">
        <is>
          <t>Part II Item 8, Consolidated Statements of Operations, p.50</t>
        </is>
      </c>
      <c r="J24" t="inlineStr">
        <is>
          <t>Annual report (10-K)</t>
        </is>
      </c>
      <c r="K24" t="inlineStr">
        <is>
          <t>not XBRL-tagged (read from filing text)</t>
        </is>
      </c>
      <c r="L24" t="inlineStr"/>
      <c r="M24" t="inlineStr">
        <is>
          <t>https://www.sec.gov/Archives/edgar/data/1318605/000162828026003952/tsla-20251231.htm</t>
        </is>
      </c>
    </row>
    <row r="25">
      <c r="A25" t="inlineStr">
        <is>
          <t>rev_total</t>
        </is>
      </c>
      <c r="B25" t="inlineStr">
        <is>
          <t>Total revenues</t>
        </is>
      </c>
      <c r="C25" t="inlineStr">
        <is>
          <t>Income statement</t>
        </is>
      </c>
      <c r="D25" t="inlineStr">
        <is>
          <t>FY2025</t>
        </is>
      </c>
      <c r="E25" s="4" t="n">
        <v>94827</v>
      </c>
      <c r="F25" t="inlineStr">
        <is>
          <t>USD m</t>
        </is>
      </c>
      <c r="G25" t="inlineStr">
        <is>
          <t>10-K - FY2025 (year ended 2025-12-31)</t>
        </is>
      </c>
      <c r="H25" t="inlineStr">
        <is>
          <t>0001628280-26-003952</t>
        </is>
      </c>
      <c r="I25" t="inlineStr">
        <is>
          <t>Part II Item 8, Consolidated Statements of Operations, p.50</t>
        </is>
      </c>
      <c r="J25" t="inlineStr">
        <is>
          <t>Annual report (10-K)</t>
        </is>
      </c>
      <c r="K25" t="inlineStr">
        <is>
          <t>not XBRL-tagged (read from filing text)</t>
        </is>
      </c>
      <c r="L25" t="inlineStr"/>
      <c r="M25" t="inlineStr">
        <is>
          <t>https://www.sec.gov/Archives/edgar/data/1318605/000162828026003952/tsla-20251231.htm</t>
        </is>
      </c>
    </row>
    <row r="26">
      <c r="A26" t="inlineStr">
        <is>
          <t>rev_total</t>
        </is>
      </c>
      <c r="B26" t="inlineStr">
        <is>
          <t>Total revenues</t>
        </is>
      </c>
      <c r="C26" t="inlineStr">
        <is>
          <t>Income statement</t>
        </is>
      </c>
      <c r="D26" t="inlineStr">
        <is>
          <t>H1_2026</t>
        </is>
      </c>
      <c r="E26" s="4" t="n">
        <v>50623</v>
      </c>
      <c r="F26" t="inlineStr">
        <is>
          <t>USD m</t>
        </is>
      </c>
      <c r="G26" t="inlineStr">
        <is>
          <t>10-Q - Q2 2026 (quarter ended 2026-06-30)</t>
        </is>
      </c>
      <c r="H26" t="inlineStr">
        <is>
          <t>0001628280-26-049270</t>
        </is>
      </c>
      <c r="I26" t="inlineStr">
        <is>
          <t>Part I Item 1, Consolidated Statements of Operations (six months), p.5</t>
        </is>
      </c>
      <c r="J26" t="inlineStr">
        <is>
          <t>Quarterly report (10-Q)</t>
        </is>
      </c>
      <c r="K26" t="inlineStr">
        <is>
          <t>not XBRL-tagged (read from filing text)</t>
        </is>
      </c>
      <c r="L26" t="inlineStr"/>
      <c r="M26" t="inlineStr">
        <is>
          <t>https://www.sec.gov/Archives/edgar/data/1318605/000162828026049270/tsla-20260630.htm</t>
        </is>
      </c>
    </row>
    <row r="27">
      <c r="A27" t="inlineStr">
        <is>
          <t>cogs_auto_sales</t>
        </is>
      </c>
      <c r="B27" t="inlineStr">
        <is>
          <t>Cost of automotive sales</t>
        </is>
      </c>
      <c r="C27" t="inlineStr">
        <is>
          <t>Income statement</t>
        </is>
      </c>
      <c r="D27" t="inlineStr">
        <is>
          <t>FY2023</t>
        </is>
      </c>
      <c r="E27" s="4" t="n">
        <v>65121</v>
      </c>
      <c r="F27" t="inlineStr">
        <is>
          <t>USD m</t>
        </is>
      </c>
      <c r="G27" t="inlineStr">
        <is>
          <t>10-K - FY2025 (year ended 2025-12-31)</t>
        </is>
      </c>
      <c r="H27" t="inlineStr">
        <is>
          <t>0001628280-26-003952</t>
        </is>
      </c>
      <c r="I27" t="inlineStr">
        <is>
          <t>Part II Item 8, Consolidated Statements of Operations, p.50</t>
        </is>
      </c>
      <c r="J27" t="inlineStr">
        <is>
          <t>Annual report (10-K)</t>
        </is>
      </c>
      <c r="K27" t="inlineStr">
        <is>
          <t>not XBRL-tagged (read from filing text)</t>
        </is>
      </c>
      <c r="L27" t="inlineStr"/>
      <c r="M27" t="inlineStr">
        <is>
          <t>https://www.sec.gov/Archives/edgar/data/1318605/000162828026003952/tsla-20251231.htm</t>
        </is>
      </c>
    </row>
    <row r="28">
      <c r="A28" t="inlineStr">
        <is>
          <t>cogs_auto_sales</t>
        </is>
      </c>
      <c r="B28" t="inlineStr">
        <is>
          <t>Cost of automotive sales</t>
        </is>
      </c>
      <c r="C28" t="inlineStr">
        <is>
          <t>Income statement</t>
        </is>
      </c>
      <c r="D28" t="inlineStr">
        <is>
          <t>FY2024</t>
        </is>
      </c>
      <c r="E28" s="4" t="n">
        <v>61870</v>
      </c>
      <c r="F28" t="inlineStr">
        <is>
          <t>USD m</t>
        </is>
      </c>
      <c r="G28" t="inlineStr">
        <is>
          <t>10-K - FY2025 (year ended 2025-12-31)</t>
        </is>
      </c>
      <c r="H28" t="inlineStr">
        <is>
          <t>0001628280-26-003952</t>
        </is>
      </c>
      <c r="I28" t="inlineStr">
        <is>
          <t>Part II Item 8, Consolidated Statements of Operations, p.50</t>
        </is>
      </c>
      <c r="J28" t="inlineStr">
        <is>
          <t>Annual report (10-K)</t>
        </is>
      </c>
      <c r="K28" t="inlineStr">
        <is>
          <t>not XBRL-tagged (read from filing text)</t>
        </is>
      </c>
      <c r="L28" t="inlineStr"/>
      <c r="M28" t="inlineStr">
        <is>
          <t>https://www.sec.gov/Archives/edgar/data/1318605/000162828026003952/tsla-20251231.htm</t>
        </is>
      </c>
    </row>
    <row r="29">
      <c r="A29" t="inlineStr">
        <is>
          <t>cogs_auto_sales</t>
        </is>
      </c>
      <c r="B29" t="inlineStr">
        <is>
          <t>Cost of automotive sales</t>
        </is>
      </c>
      <c r="C29" t="inlineStr">
        <is>
          <t>Income statement</t>
        </is>
      </c>
      <c r="D29" t="inlineStr">
        <is>
          <t>FY2025</t>
        </is>
      </c>
      <c r="E29" s="4" t="n">
        <v>56267</v>
      </c>
      <c r="F29" t="inlineStr">
        <is>
          <t>USD m</t>
        </is>
      </c>
      <c r="G29" t="inlineStr">
        <is>
          <t>10-K - FY2025 (year ended 2025-12-31)</t>
        </is>
      </c>
      <c r="H29" t="inlineStr">
        <is>
          <t>0001628280-26-003952</t>
        </is>
      </c>
      <c r="I29" t="inlineStr">
        <is>
          <t>Part II Item 8, Consolidated Statements of Operations, p.50</t>
        </is>
      </c>
      <c r="J29" t="inlineStr">
        <is>
          <t>Annual report (10-K)</t>
        </is>
      </c>
      <c r="K29" t="inlineStr">
        <is>
          <t>not XBRL-tagged (read from filing text)</t>
        </is>
      </c>
      <c r="L29" t="inlineStr"/>
      <c r="M29" t="inlineStr">
        <is>
          <t>https://www.sec.gov/Archives/edgar/data/1318605/000162828026003952/tsla-20251231.htm</t>
        </is>
      </c>
    </row>
    <row r="30">
      <c r="A30" t="inlineStr">
        <is>
          <t>cogs_auto_sales</t>
        </is>
      </c>
      <c r="B30" t="inlineStr">
        <is>
          <t>Cost of automotive sales</t>
        </is>
      </c>
      <c r="C30" t="inlineStr">
        <is>
          <t>Income statement</t>
        </is>
      </c>
      <c r="D30" t="inlineStr">
        <is>
          <t>H1_2026</t>
        </is>
      </c>
      <c r="E30" s="4" t="n">
        <v>29482</v>
      </c>
      <c r="F30" t="inlineStr">
        <is>
          <t>USD m</t>
        </is>
      </c>
      <c r="G30" t="inlineStr">
        <is>
          <t>10-Q - Q2 2026 (quarter ended 2026-06-30)</t>
        </is>
      </c>
      <c r="H30" t="inlineStr">
        <is>
          <t>0001628280-26-049270</t>
        </is>
      </c>
      <c r="I30" t="inlineStr">
        <is>
          <t>Part I Item 1, Consolidated Statements of Operations (six months), p.5</t>
        </is>
      </c>
      <c r="J30" t="inlineStr">
        <is>
          <t>Quarterly report (10-Q)</t>
        </is>
      </c>
      <c r="K30" t="inlineStr">
        <is>
          <t>not XBRL-tagged (read from filing text)</t>
        </is>
      </c>
      <c r="L30" t="inlineStr"/>
      <c r="M30" t="inlineStr">
        <is>
          <t>https://www.sec.gov/Archives/edgar/data/1318605/000162828026049270/tsla-20260630.htm</t>
        </is>
      </c>
    </row>
    <row r="31">
      <c r="A31" t="inlineStr">
        <is>
          <t>cogs_auto_leasing</t>
        </is>
      </c>
      <c r="B31" t="inlineStr">
        <is>
          <t>Cost of automotive leasing</t>
        </is>
      </c>
      <c r="C31" t="inlineStr">
        <is>
          <t>Income statement</t>
        </is>
      </c>
      <c r="D31" t="inlineStr">
        <is>
          <t>FY2023</t>
        </is>
      </c>
      <c r="E31" s="4" t="n">
        <v>1268</v>
      </c>
      <c r="F31" t="inlineStr">
        <is>
          <t>USD m</t>
        </is>
      </c>
      <c r="G31" t="inlineStr">
        <is>
          <t>10-K - FY2025 (year ended 2025-12-31)</t>
        </is>
      </c>
      <c r="H31" t="inlineStr">
        <is>
          <t>0001628280-26-003952</t>
        </is>
      </c>
      <c r="I31" t="inlineStr">
        <is>
          <t>Part II Item 8, Consolidated Statements of Operations, p.50</t>
        </is>
      </c>
      <c r="J31" t="inlineStr">
        <is>
          <t>Annual report (10-K)</t>
        </is>
      </c>
      <c r="K31" t="inlineStr">
        <is>
          <t>not XBRL-tagged (read from filing text)</t>
        </is>
      </c>
      <c r="L31" t="inlineStr"/>
      <c r="M31" t="inlineStr">
        <is>
          <t>https://www.sec.gov/Archives/edgar/data/1318605/000162828026003952/tsla-20251231.htm</t>
        </is>
      </c>
    </row>
    <row r="32">
      <c r="A32" t="inlineStr">
        <is>
          <t>cogs_auto_leasing</t>
        </is>
      </c>
      <c r="B32" t="inlineStr">
        <is>
          <t>Cost of automotive leasing</t>
        </is>
      </c>
      <c r="C32" t="inlineStr">
        <is>
          <t>Income statement</t>
        </is>
      </c>
      <c r="D32" t="inlineStr">
        <is>
          <t>FY2024</t>
        </is>
      </c>
      <c r="E32" s="4" t="n">
        <v>1003</v>
      </c>
      <c r="F32" t="inlineStr">
        <is>
          <t>USD m</t>
        </is>
      </c>
      <c r="G32" t="inlineStr">
        <is>
          <t>10-K - FY2025 (year ended 2025-12-31)</t>
        </is>
      </c>
      <c r="H32" t="inlineStr">
        <is>
          <t>0001628280-26-003952</t>
        </is>
      </c>
      <c r="I32" t="inlineStr">
        <is>
          <t>Part II Item 8, Consolidated Statements of Operations, p.50</t>
        </is>
      </c>
      <c r="J32" t="inlineStr">
        <is>
          <t>Annual report (10-K)</t>
        </is>
      </c>
      <c r="K32" t="inlineStr">
        <is>
          <t>not XBRL-tagged (read from filing text)</t>
        </is>
      </c>
      <c r="L32" t="inlineStr"/>
      <c r="M32" t="inlineStr">
        <is>
          <t>https://www.sec.gov/Archives/edgar/data/1318605/000162828026003952/tsla-20251231.htm</t>
        </is>
      </c>
    </row>
    <row r="33">
      <c r="A33" t="inlineStr">
        <is>
          <t>cogs_auto_leasing</t>
        </is>
      </c>
      <c r="B33" t="inlineStr">
        <is>
          <t>Cost of automotive leasing</t>
        </is>
      </c>
      <c r="C33" t="inlineStr">
        <is>
          <t>Income statement</t>
        </is>
      </c>
      <c r="D33" t="inlineStr">
        <is>
          <t>FY2025</t>
        </is>
      </c>
      <c r="E33" s="4" t="n">
        <v>898</v>
      </c>
      <c r="F33" t="inlineStr">
        <is>
          <t>USD m</t>
        </is>
      </c>
      <c r="G33" t="inlineStr">
        <is>
          <t>10-K - FY2025 (year ended 2025-12-31)</t>
        </is>
      </c>
      <c r="H33" t="inlineStr">
        <is>
          <t>0001628280-26-003952</t>
        </is>
      </c>
      <c r="I33" t="inlineStr">
        <is>
          <t>Part II Item 8, Consolidated Statements of Operations, p.50</t>
        </is>
      </c>
      <c r="J33" t="inlineStr">
        <is>
          <t>Annual report (10-K)</t>
        </is>
      </c>
      <c r="K33" t="inlineStr">
        <is>
          <t>not XBRL-tagged (read from filing text)</t>
        </is>
      </c>
      <c r="L33" t="inlineStr"/>
      <c r="M33" t="inlineStr">
        <is>
          <t>https://www.sec.gov/Archives/edgar/data/1318605/000162828026003952/tsla-20251231.htm</t>
        </is>
      </c>
    </row>
    <row r="34">
      <c r="A34" t="inlineStr">
        <is>
          <t>cogs_auto_leasing</t>
        </is>
      </c>
      <c r="B34" t="inlineStr">
        <is>
          <t>Cost of automotive leasing</t>
        </is>
      </c>
      <c r="C34" t="inlineStr">
        <is>
          <t>Income statement</t>
        </is>
      </c>
      <c r="D34" t="inlineStr">
        <is>
          <t>H1_2026</t>
        </is>
      </c>
      <c r="E34" s="4" t="n">
        <v>383</v>
      </c>
      <c r="F34" t="inlineStr">
        <is>
          <t>USD m</t>
        </is>
      </c>
      <c r="G34" t="inlineStr">
        <is>
          <t>10-Q - Q2 2026 (quarter ended 2026-06-30)</t>
        </is>
      </c>
      <c r="H34" t="inlineStr">
        <is>
          <t>0001628280-26-049270</t>
        </is>
      </c>
      <c r="I34" t="inlineStr">
        <is>
          <t>Part I Item 1, Consolidated Statements of Operations (six months), p.5</t>
        </is>
      </c>
      <c r="J34" t="inlineStr">
        <is>
          <t>Quarterly report (10-Q)</t>
        </is>
      </c>
      <c r="K34" t="inlineStr">
        <is>
          <t>not XBRL-tagged (read from filing text)</t>
        </is>
      </c>
      <c r="L34" t="inlineStr"/>
      <c r="M34" t="inlineStr">
        <is>
          <t>https://www.sec.gov/Archives/edgar/data/1318605/000162828026049270/tsla-20260630.htm</t>
        </is>
      </c>
    </row>
    <row r="35">
      <c r="A35" t="inlineStr">
        <is>
          <t>cogs_energy</t>
        </is>
      </c>
      <c r="B35" t="inlineStr">
        <is>
          <t>Cost of energy generation and storage</t>
        </is>
      </c>
      <c r="C35" t="inlineStr">
        <is>
          <t>Income statement</t>
        </is>
      </c>
      <c r="D35" t="inlineStr">
        <is>
          <t>FY2023</t>
        </is>
      </c>
      <c r="E35" s="4" t="n">
        <v>4894</v>
      </c>
      <c r="F35" t="inlineStr">
        <is>
          <t>USD m</t>
        </is>
      </c>
      <c r="G35" t="inlineStr">
        <is>
          <t>10-K - FY2025 (year ended 2025-12-31)</t>
        </is>
      </c>
      <c r="H35" t="inlineStr">
        <is>
          <t>0001628280-26-003952</t>
        </is>
      </c>
      <c r="I35" t="inlineStr">
        <is>
          <t>Part II Item 8, Consolidated Statements of Operations, p.50</t>
        </is>
      </c>
      <c r="J35" t="inlineStr">
        <is>
          <t>Annual report (10-K)</t>
        </is>
      </c>
      <c r="K35" t="inlineStr">
        <is>
          <t>not XBRL-tagged (read from filing text)</t>
        </is>
      </c>
      <c r="L35" t="inlineStr"/>
      <c r="M35" t="inlineStr">
        <is>
          <t>https://www.sec.gov/Archives/edgar/data/1318605/000162828026003952/tsla-20251231.htm</t>
        </is>
      </c>
    </row>
    <row r="36">
      <c r="A36" t="inlineStr">
        <is>
          <t>cogs_energy</t>
        </is>
      </c>
      <c r="B36" t="inlineStr">
        <is>
          <t>Cost of energy generation and storage</t>
        </is>
      </c>
      <c r="C36" t="inlineStr">
        <is>
          <t>Income statement</t>
        </is>
      </c>
      <c r="D36" t="inlineStr">
        <is>
          <t>FY2024</t>
        </is>
      </c>
      <c r="E36" s="4" t="n">
        <v>7446</v>
      </c>
      <c r="F36" t="inlineStr">
        <is>
          <t>USD m</t>
        </is>
      </c>
      <c r="G36" t="inlineStr">
        <is>
          <t>10-K - FY2025 (year ended 2025-12-31)</t>
        </is>
      </c>
      <c r="H36" t="inlineStr">
        <is>
          <t>0001628280-26-003952</t>
        </is>
      </c>
      <c r="I36" t="inlineStr">
        <is>
          <t>Part II Item 8, Consolidated Statements of Operations, p.50</t>
        </is>
      </c>
      <c r="J36" t="inlineStr">
        <is>
          <t>Annual report (10-K)</t>
        </is>
      </c>
      <c r="K36" t="inlineStr">
        <is>
          <t>not XBRL-tagged (read from filing text)</t>
        </is>
      </c>
      <c r="L36" t="inlineStr"/>
      <c r="M36" t="inlineStr">
        <is>
          <t>https://www.sec.gov/Archives/edgar/data/1318605/000162828026003952/tsla-20251231.htm</t>
        </is>
      </c>
    </row>
    <row r="37">
      <c r="A37" t="inlineStr">
        <is>
          <t>cogs_energy</t>
        </is>
      </c>
      <c r="B37" t="inlineStr">
        <is>
          <t>Cost of energy generation and storage</t>
        </is>
      </c>
      <c r="C37" t="inlineStr">
        <is>
          <t>Income statement</t>
        </is>
      </c>
      <c r="D37" t="inlineStr">
        <is>
          <t>FY2025</t>
        </is>
      </c>
      <c r="E37" s="4" t="n">
        <v>8969</v>
      </c>
      <c r="F37" t="inlineStr">
        <is>
          <t>USD m</t>
        </is>
      </c>
      <c r="G37" t="inlineStr">
        <is>
          <t>10-K - FY2025 (year ended 2025-12-31)</t>
        </is>
      </c>
      <c r="H37" t="inlineStr">
        <is>
          <t>0001628280-26-003952</t>
        </is>
      </c>
      <c r="I37" t="inlineStr">
        <is>
          <t>Part II Item 8, Consolidated Statements of Operations, p.50</t>
        </is>
      </c>
      <c r="J37" t="inlineStr">
        <is>
          <t>Annual report (10-K)</t>
        </is>
      </c>
      <c r="K37" t="inlineStr">
        <is>
          <t>not XBRL-tagged (read from filing text)</t>
        </is>
      </c>
      <c r="L37" t="inlineStr"/>
      <c r="M37" t="inlineStr">
        <is>
          <t>https://www.sec.gov/Archives/edgar/data/1318605/000162828026003952/tsla-20251231.htm</t>
        </is>
      </c>
    </row>
    <row r="38">
      <c r="A38" t="inlineStr">
        <is>
          <t>cogs_energy</t>
        </is>
      </c>
      <c r="B38" t="inlineStr">
        <is>
          <t>Cost of energy generation and storage</t>
        </is>
      </c>
      <c r="C38" t="inlineStr">
        <is>
          <t>Income statement</t>
        </is>
      </c>
      <c r="D38" t="inlineStr">
        <is>
          <t>H1_2026</t>
        </is>
      </c>
      <c r="E38" s="4" t="n">
        <v>3955</v>
      </c>
      <c r="F38" t="inlineStr">
        <is>
          <t>USD m</t>
        </is>
      </c>
      <c r="G38" t="inlineStr">
        <is>
          <t>10-Q - Q2 2026 (quarter ended 2026-06-30)</t>
        </is>
      </c>
      <c r="H38" t="inlineStr">
        <is>
          <t>0001628280-26-049270</t>
        </is>
      </c>
      <c r="I38" t="inlineStr">
        <is>
          <t>Part I Item 1, Consolidated Statements of Operations (six months), p.5</t>
        </is>
      </c>
      <c r="J38" t="inlineStr">
        <is>
          <t>Quarterly report (10-Q)</t>
        </is>
      </c>
      <c r="K38" t="inlineStr">
        <is>
          <t>not XBRL-tagged (read from filing text)</t>
        </is>
      </c>
      <c r="L38" t="inlineStr"/>
      <c r="M38" t="inlineStr">
        <is>
          <t>https://www.sec.gov/Archives/edgar/data/1318605/000162828026049270/tsla-20260630.htm</t>
        </is>
      </c>
    </row>
    <row r="39">
      <c r="A39" t="inlineStr">
        <is>
          <t>cogs_services</t>
        </is>
      </c>
      <c r="B39" t="inlineStr">
        <is>
          <t>Cost of services and other</t>
        </is>
      </c>
      <c r="C39" t="inlineStr">
        <is>
          <t>Income statement</t>
        </is>
      </c>
      <c r="D39" t="inlineStr">
        <is>
          <t>FY2023</t>
        </is>
      </c>
      <c r="E39" s="4" t="n">
        <v>7830</v>
      </c>
      <c r="F39" t="inlineStr">
        <is>
          <t>USD m</t>
        </is>
      </c>
      <c r="G39" t="inlineStr">
        <is>
          <t>10-K - FY2025 (year ended 2025-12-31)</t>
        </is>
      </c>
      <c r="H39" t="inlineStr">
        <is>
          <t>0001628280-26-003952</t>
        </is>
      </c>
      <c r="I39" t="inlineStr">
        <is>
          <t>Part II Item 8, Consolidated Statements of Operations, p.50</t>
        </is>
      </c>
      <c r="J39" t="inlineStr">
        <is>
          <t>Annual report (10-K)</t>
        </is>
      </c>
      <c r="K39" t="inlineStr">
        <is>
          <t>not XBRL-tagged (read from filing text)</t>
        </is>
      </c>
      <c r="L39" t="inlineStr"/>
      <c r="M39" t="inlineStr">
        <is>
          <t>https://www.sec.gov/Archives/edgar/data/1318605/000162828026003952/tsla-20251231.htm</t>
        </is>
      </c>
    </row>
    <row r="40">
      <c r="A40" t="inlineStr">
        <is>
          <t>cogs_services</t>
        </is>
      </c>
      <c r="B40" t="inlineStr">
        <is>
          <t>Cost of services and other</t>
        </is>
      </c>
      <c r="C40" t="inlineStr">
        <is>
          <t>Income statement</t>
        </is>
      </c>
      <c r="D40" t="inlineStr">
        <is>
          <t>FY2024</t>
        </is>
      </c>
      <c r="E40" s="4" t="n">
        <v>9921</v>
      </c>
      <c r="F40" t="inlineStr">
        <is>
          <t>USD m</t>
        </is>
      </c>
      <c r="G40" t="inlineStr">
        <is>
          <t>10-K - FY2025 (year ended 2025-12-31)</t>
        </is>
      </c>
      <c r="H40" t="inlineStr">
        <is>
          <t>0001628280-26-003952</t>
        </is>
      </c>
      <c r="I40" t="inlineStr">
        <is>
          <t>Part II Item 8, Consolidated Statements of Operations, p.50</t>
        </is>
      </c>
      <c r="J40" t="inlineStr">
        <is>
          <t>Annual report (10-K)</t>
        </is>
      </c>
      <c r="K40" t="inlineStr">
        <is>
          <t>not XBRL-tagged (read from filing text)</t>
        </is>
      </c>
      <c r="L40" t="inlineStr"/>
      <c r="M40" t="inlineStr">
        <is>
          <t>https://www.sec.gov/Archives/edgar/data/1318605/000162828026003952/tsla-20251231.htm</t>
        </is>
      </c>
    </row>
    <row r="41">
      <c r="A41" t="inlineStr">
        <is>
          <t>cogs_services</t>
        </is>
      </c>
      <c r="B41" t="inlineStr">
        <is>
          <t>Cost of services and other</t>
        </is>
      </c>
      <c r="C41" t="inlineStr">
        <is>
          <t>Income statement</t>
        </is>
      </c>
      <c r="D41" t="inlineStr">
        <is>
          <t>FY2025</t>
        </is>
      </c>
      <c r="E41" s="4" t="n">
        <v>11599</v>
      </c>
      <c r="F41" t="inlineStr">
        <is>
          <t>USD m</t>
        </is>
      </c>
      <c r="G41" t="inlineStr">
        <is>
          <t>10-K - FY2025 (year ended 2025-12-31)</t>
        </is>
      </c>
      <c r="H41" t="inlineStr">
        <is>
          <t>0001628280-26-003952</t>
        </is>
      </c>
      <c r="I41" t="inlineStr">
        <is>
          <t>Part II Item 8, Consolidated Statements of Operations, p.50</t>
        </is>
      </c>
      <c r="J41" t="inlineStr">
        <is>
          <t>Annual report (10-K)</t>
        </is>
      </c>
      <c r="K41" t="inlineStr">
        <is>
          <t>not XBRL-tagged (read from filing text)</t>
        </is>
      </c>
      <c r="L41" t="inlineStr"/>
      <c r="M41" t="inlineStr">
        <is>
          <t>https://www.sec.gov/Archives/edgar/data/1318605/000162828026003952/tsla-20251231.htm</t>
        </is>
      </c>
    </row>
    <row r="42">
      <c r="A42" t="inlineStr">
        <is>
          <t>cogs_services</t>
        </is>
      </c>
      <c r="B42" t="inlineStr">
        <is>
          <t>Cost of services and other</t>
        </is>
      </c>
      <c r="C42" t="inlineStr">
        <is>
          <t>Income statement</t>
        </is>
      </c>
      <c r="D42" t="inlineStr">
        <is>
          <t>H1_2026</t>
        </is>
      </c>
      <c r="E42" s="4" t="n">
        <v>7332</v>
      </c>
      <c r="F42" t="inlineStr">
        <is>
          <t>USD m</t>
        </is>
      </c>
      <c r="G42" t="inlineStr">
        <is>
          <t>10-Q - Q2 2026 (quarter ended 2026-06-30)</t>
        </is>
      </c>
      <c r="H42" t="inlineStr">
        <is>
          <t>0001628280-26-049270</t>
        </is>
      </c>
      <c r="I42" t="inlineStr">
        <is>
          <t>Part I Item 1, Consolidated Statements of Operations (six months), p.5</t>
        </is>
      </c>
      <c r="J42" t="inlineStr">
        <is>
          <t>Quarterly report (10-Q)</t>
        </is>
      </c>
      <c r="K42" t="inlineStr">
        <is>
          <t>not XBRL-tagged (read from filing text)</t>
        </is>
      </c>
      <c r="L42" t="inlineStr"/>
      <c r="M42" t="inlineStr">
        <is>
          <t>https://www.sec.gov/Archives/edgar/data/1318605/000162828026049270/tsla-20260630.htm</t>
        </is>
      </c>
    </row>
    <row r="43">
      <c r="A43" t="inlineStr">
        <is>
          <t>cogs_total</t>
        </is>
      </c>
      <c r="B43" t="inlineStr">
        <is>
          <t>Total cost of revenues</t>
        </is>
      </c>
      <c r="C43" t="inlineStr">
        <is>
          <t>Income statement</t>
        </is>
      </c>
      <c r="D43" t="inlineStr">
        <is>
          <t>FY2023</t>
        </is>
      </c>
      <c r="E43" s="4" t="n">
        <v>79113</v>
      </c>
      <c r="F43" t="inlineStr">
        <is>
          <t>USD m</t>
        </is>
      </c>
      <c r="G43" t="inlineStr">
        <is>
          <t>10-K - FY2025 (year ended 2025-12-31)</t>
        </is>
      </c>
      <c r="H43" t="inlineStr">
        <is>
          <t>0001628280-26-003952</t>
        </is>
      </c>
      <c r="I43" t="inlineStr">
        <is>
          <t>Part II Item 8, Consolidated Statements of Operations, p.50</t>
        </is>
      </c>
      <c r="J43" t="inlineStr">
        <is>
          <t>Annual report (10-K)</t>
        </is>
      </c>
      <c r="K43" t="inlineStr">
        <is>
          <t>not XBRL-tagged (read from filing text)</t>
        </is>
      </c>
      <c r="L43" t="inlineStr"/>
      <c r="M43" t="inlineStr">
        <is>
          <t>https://www.sec.gov/Archives/edgar/data/1318605/000162828026003952/tsla-20251231.htm</t>
        </is>
      </c>
    </row>
    <row r="44">
      <c r="A44" t="inlineStr">
        <is>
          <t>cogs_total</t>
        </is>
      </c>
      <c r="B44" t="inlineStr">
        <is>
          <t>Total cost of revenues</t>
        </is>
      </c>
      <c r="C44" t="inlineStr">
        <is>
          <t>Income statement</t>
        </is>
      </c>
      <c r="D44" t="inlineStr">
        <is>
          <t>FY2024</t>
        </is>
      </c>
      <c r="E44" s="4" t="n">
        <v>80240</v>
      </c>
      <c r="F44" t="inlineStr">
        <is>
          <t>USD m</t>
        </is>
      </c>
      <c r="G44" t="inlineStr">
        <is>
          <t>10-K - FY2025 (year ended 2025-12-31)</t>
        </is>
      </c>
      <c r="H44" t="inlineStr">
        <is>
          <t>0001628280-26-003952</t>
        </is>
      </c>
      <c r="I44" t="inlineStr">
        <is>
          <t>Part II Item 8, Consolidated Statements of Operations, p.50</t>
        </is>
      </c>
      <c r="J44" t="inlineStr">
        <is>
          <t>Annual report (10-K)</t>
        </is>
      </c>
      <c r="K44" t="inlineStr">
        <is>
          <t>not XBRL-tagged (read from filing text)</t>
        </is>
      </c>
      <c r="L44" t="inlineStr"/>
      <c r="M44" t="inlineStr">
        <is>
          <t>https://www.sec.gov/Archives/edgar/data/1318605/000162828026003952/tsla-20251231.htm</t>
        </is>
      </c>
    </row>
    <row r="45">
      <c r="A45" t="inlineStr">
        <is>
          <t>cogs_total</t>
        </is>
      </c>
      <c r="B45" t="inlineStr">
        <is>
          <t>Total cost of revenues</t>
        </is>
      </c>
      <c r="C45" t="inlineStr">
        <is>
          <t>Income statement</t>
        </is>
      </c>
      <c r="D45" t="inlineStr">
        <is>
          <t>FY2025</t>
        </is>
      </c>
      <c r="E45" s="4" t="n">
        <v>77733</v>
      </c>
      <c r="F45" t="inlineStr">
        <is>
          <t>USD m</t>
        </is>
      </c>
      <c r="G45" t="inlineStr">
        <is>
          <t>10-K - FY2025 (year ended 2025-12-31)</t>
        </is>
      </c>
      <c r="H45" t="inlineStr">
        <is>
          <t>0001628280-26-003952</t>
        </is>
      </c>
      <c r="I45" t="inlineStr">
        <is>
          <t>Part II Item 8, Consolidated Statements of Operations, p.50</t>
        </is>
      </c>
      <c r="J45" t="inlineStr">
        <is>
          <t>Annual report (10-K)</t>
        </is>
      </c>
      <c r="K45" t="inlineStr">
        <is>
          <t>not XBRL-tagged (read from filing text)</t>
        </is>
      </c>
      <c r="L45" t="inlineStr"/>
      <c r="M45" t="inlineStr">
        <is>
          <t>https://www.sec.gov/Archives/edgar/data/1318605/000162828026003952/tsla-20251231.htm</t>
        </is>
      </c>
    </row>
    <row r="46">
      <c r="A46" t="inlineStr">
        <is>
          <t>cogs_total</t>
        </is>
      </c>
      <c r="B46" t="inlineStr">
        <is>
          <t>Total cost of revenues</t>
        </is>
      </c>
      <c r="C46" t="inlineStr">
        <is>
          <t>Income statement</t>
        </is>
      </c>
      <c r="D46" t="inlineStr">
        <is>
          <t>H1_2026</t>
        </is>
      </c>
      <c r="E46" s="4" t="n">
        <v>41152</v>
      </c>
      <c r="F46" t="inlineStr">
        <is>
          <t>USD m</t>
        </is>
      </c>
      <c r="G46" t="inlineStr">
        <is>
          <t>10-Q - Q2 2026 (quarter ended 2026-06-30)</t>
        </is>
      </c>
      <c r="H46" t="inlineStr">
        <is>
          <t>0001628280-26-049270</t>
        </is>
      </c>
      <c r="I46" t="inlineStr">
        <is>
          <t>Part I Item 1, Consolidated Statements of Operations (six months), p.5</t>
        </is>
      </c>
      <c r="J46" t="inlineStr">
        <is>
          <t>Quarterly report (10-Q)</t>
        </is>
      </c>
      <c r="K46" t="inlineStr">
        <is>
          <t>not XBRL-tagged (read from filing text)</t>
        </is>
      </c>
      <c r="L46" t="inlineStr"/>
      <c r="M46" t="inlineStr">
        <is>
          <t>https://www.sec.gov/Archives/edgar/data/1318605/000162828026049270/tsla-20260630.htm</t>
        </is>
      </c>
    </row>
    <row r="47">
      <c r="A47" t="inlineStr">
        <is>
          <t>gross_profit</t>
        </is>
      </c>
      <c r="B47" t="inlineStr">
        <is>
          <t>Gross profit</t>
        </is>
      </c>
      <c r="C47" t="inlineStr">
        <is>
          <t>Income statement</t>
        </is>
      </c>
      <c r="D47" t="inlineStr">
        <is>
          <t>FY2023</t>
        </is>
      </c>
      <c r="E47" s="4" t="n">
        <v>17660</v>
      </c>
      <c r="F47" t="inlineStr">
        <is>
          <t>USD m</t>
        </is>
      </c>
      <c r="G47" t="inlineStr">
        <is>
          <t>10-K - FY2025 (year ended 2025-12-31)</t>
        </is>
      </c>
      <c r="H47" t="inlineStr">
        <is>
          <t>0001628280-26-003952</t>
        </is>
      </c>
      <c r="I47" t="inlineStr">
        <is>
          <t>Part II Item 8, Consolidated Statements of Operations, p.50</t>
        </is>
      </c>
      <c r="J47" t="inlineStr">
        <is>
          <t>Annual report (10-K)</t>
        </is>
      </c>
      <c r="K47" t="inlineStr">
        <is>
          <t>not XBRL-tagged (read from filing text)</t>
        </is>
      </c>
      <c r="L47" t="inlineStr"/>
      <c r="M47" t="inlineStr">
        <is>
          <t>https://www.sec.gov/Archives/edgar/data/1318605/000162828026003952/tsla-20251231.htm</t>
        </is>
      </c>
    </row>
    <row r="48">
      <c r="A48" t="inlineStr">
        <is>
          <t>gross_profit</t>
        </is>
      </c>
      <c r="B48" t="inlineStr">
        <is>
          <t>Gross profit</t>
        </is>
      </c>
      <c r="C48" t="inlineStr">
        <is>
          <t>Income statement</t>
        </is>
      </c>
      <c r="D48" t="inlineStr">
        <is>
          <t>FY2024</t>
        </is>
      </c>
      <c r="E48" s="4" t="n">
        <v>17450</v>
      </c>
      <c r="F48" t="inlineStr">
        <is>
          <t>USD m</t>
        </is>
      </c>
      <c r="G48" t="inlineStr">
        <is>
          <t>10-K - FY2025 (year ended 2025-12-31)</t>
        </is>
      </c>
      <c r="H48" t="inlineStr">
        <is>
          <t>0001628280-26-003952</t>
        </is>
      </c>
      <c r="I48" t="inlineStr">
        <is>
          <t>Part II Item 8, Consolidated Statements of Operations, p.50</t>
        </is>
      </c>
      <c r="J48" t="inlineStr">
        <is>
          <t>Annual report (10-K)</t>
        </is>
      </c>
      <c r="K48" t="inlineStr">
        <is>
          <t>not XBRL-tagged (read from filing text)</t>
        </is>
      </c>
      <c r="L48" t="inlineStr"/>
      <c r="M48" t="inlineStr">
        <is>
          <t>https://www.sec.gov/Archives/edgar/data/1318605/000162828026003952/tsla-20251231.htm</t>
        </is>
      </c>
    </row>
    <row r="49">
      <c r="A49" t="inlineStr">
        <is>
          <t>gross_profit</t>
        </is>
      </c>
      <c r="B49" t="inlineStr">
        <is>
          <t>Gross profit</t>
        </is>
      </c>
      <c r="C49" t="inlineStr">
        <is>
          <t>Income statement</t>
        </is>
      </c>
      <c r="D49" t="inlineStr">
        <is>
          <t>FY2025</t>
        </is>
      </c>
      <c r="E49" s="4" t="n">
        <v>17094</v>
      </c>
      <c r="F49" t="inlineStr">
        <is>
          <t>USD m</t>
        </is>
      </c>
      <c r="G49" t="inlineStr">
        <is>
          <t>10-K - FY2025 (year ended 2025-12-31)</t>
        </is>
      </c>
      <c r="H49" t="inlineStr">
        <is>
          <t>0001628280-26-003952</t>
        </is>
      </c>
      <c r="I49" t="inlineStr">
        <is>
          <t>Part II Item 8, Consolidated Statements of Operations, p.50</t>
        </is>
      </c>
      <c r="J49" t="inlineStr">
        <is>
          <t>Annual report (10-K)</t>
        </is>
      </c>
      <c r="K49" t="inlineStr">
        <is>
          <t>not XBRL-tagged (read from filing text)</t>
        </is>
      </c>
      <c r="L49" t="inlineStr"/>
      <c r="M49" t="inlineStr">
        <is>
          <t>https://www.sec.gov/Archives/edgar/data/1318605/000162828026003952/tsla-20251231.htm</t>
        </is>
      </c>
    </row>
    <row r="50">
      <c r="A50" t="inlineStr">
        <is>
          <t>gross_profit</t>
        </is>
      </c>
      <c r="B50" t="inlineStr">
        <is>
          <t>Gross profit</t>
        </is>
      </c>
      <c r="C50" t="inlineStr">
        <is>
          <t>Income statement</t>
        </is>
      </c>
      <c r="D50" t="inlineStr">
        <is>
          <t>H1_2026</t>
        </is>
      </c>
      <c r="E50" s="4" t="n">
        <v>9471</v>
      </c>
      <c r="F50" t="inlineStr">
        <is>
          <t>USD m</t>
        </is>
      </c>
      <c r="G50" t="inlineStr">
        <is>
          <t>10-Q - Q2 2026 (quarter ended 2026-06-30)</t>
        </is>
      </c>
      <c r="H50" t="inlineStr">
        <is>
          <t>0001628280-26-049270</t>
        </is>
      </c>
      <c r="I50" t="inlineStr">
        <is>
          <t>Part I Item 1, Consolidated Statements of Operations (six months), p.5</t>
        </is>
      </c>
      <c r="J50" t="inlineStr">
        <is>
          <t>Quarterly report (10-Q)</t>
        </is>
      </c>
      <c r="K50" t="inlineStr">
        <is>
          <t>not XBRL-tagged (read from filing text)</t>
        </is>
      </c>
      <c r="L50" t="inlineStr"/>
      <c r="M50" t="inlineStr">
        <is>
          <t>https://www.sec.gov/Archives/edgar/data/1318605/000162828026049270/tsla-20260630.htm</t>
        </is>
      </c>
    </row>
    <row r="51">
      <c r="A51" t="inlineStr">
        <is>
          <t>rd</t>
        </is>
      </c>
      <c r="B51" t="inlineStr">
        <is>
          <t>Research and development</t>
        </is>
      </c>
      <c r="C51" t="inlineStr">
        <is>
          <t>Income statement</t>
        </is>
      </c>
      <c r="D51" t="inlineStr">
        <is>
          <t>FY2023</t>
        </is>
      </c>
      <c r="E51" s="4" t="n">
        <v>3969</v>
      </c>
      <c r="F51" t="inlineStr">
        <is>
          <t>USD m</t>
        </is>
      </c>
      <c r="G51" t="inlineStr">
        <is>
          <t>10-K - FY2025 (year ended 2025-12-31)</t>
        </is>
      </c>
      <c r="H51" t="inlineStr">
        <is>
          <t>0001628280-26-003952</t>
        </is>
      </c>
      <c r="I51" t="inlineStr">
        <is>
          <t>Part II Item 8, Consolidated Statements of Operations, p.50</t>
        </is>
      </c>
      <c r="J51" t="inlineStr">
        <is>
          <t>Annual report (10-K)</t>
        </is>
      </c>
      <c r="K51" t="inlineStr">
        <is>
          <t>not XBRL-tagged (read from filing text)</t>
        </is>
      </c>
      <c r="L51" t="inlineStr"/>
      <c r="M51" t="inlineStr">
        <is>
          <t>https://www.sec.gov/Archives/edgar/data/1318605/000162828026003952/tsla-20251231.htm</t>
        </is>
      </c>
    </row>
    <row r="52">
      <c r="A52" t="inlineStr">
        <is>
          <t>rd</t>
        </is>
      </c>
      <c r="B52" t="inlineStr">
        <is>
          <t>Research and development</t>
        </is>
      </c>
      <c r="C52" t="inlineStr">
        <is>
          <t>Income statement</t>
        </is>
      </c>
      <c r="D52" t="inlineStr">
        <is>
          <t>FY2024</t>
        </is>
      </c>
      <c r="E52" s="4" t="n">
        <v>4540</v>
      </c>
      <c r="F52" t="inlineStr">
        <is>
          <t>USD m</t>
        </is>
      </c>
      <c r="G52" t="inlineStr">
        <is>
          <t>10-K - FY2025 (year ended 2025-12-31)</t>
        </is>
      </c>
      <c r="H52" t="inlineStr">
        <is>
          <t>0001628280-26-003952</t>
        </is>
      </c>
      <c r="I52" t="inlineStr">
        <is>
          <t>Part II Item 8, Consolidated Statements of Operations, p.50</t>
        </is>
      </c>
      <c r="J52" t="inlineStr">
        <is>
          <t>Annual report (10-K)</t>
        </is>
      </c>
      <c r="K52" t="inlineStr">
        <is>
          <t>not XBRL-tagged (read from filing text)</t>
        </is>
      </c>
      <c r="L52" t="inlineStr"/>
      <c r="M52" t="inlineStr">
        <is>
          <t>https://www.sec.gov/Archives/edgar/data/1318605/000162828026003952/tsla-20251231.htm</t>
        </is>
      </c>
    </row>
    <row r="53">
      <c r="A53" t="inlineStr">
        <is>
          <t>rd</t>
        </is>
      </c>
      <c r="B53" t="inlineStr">
        <is>
          <t>Research and development</t>
        </is>
      </c>
      <c r="C53" t="inlineStr">
        <is>
          <t>Income statement</t>
        </is>
      </c>
      <c r="D53" t="inlineStr">
        <is>
          <t>FY2025</t>
        </is>
      </c>
      <c r="E53" s="4" t="n">
        <v>6411</v>
      </c>
      <c r="F53" t="inlineStr">
        <is>
          <t>USD m</t>
        </is>
      </c>
      <c r="G53" t="inlineStr">
        <is>
          <t>10-K - FY2025 (year ended 2025-12-31)</t>
        </is>
      </c>
      <c r="H53" t="inlineStr">
        <is>
          <t>0001628280-26-003952</t>
        </is>
      </c>
      <c r="I53" t="inlineStr">
        <is>
          <t>Part II Item 8, Consolidated Statements of Operations, p.50</t>
        </is>
      </c>
      <c r="J53" t="inlineStr">
        <is>
          <t>Annual report (10-K)</t>
        </is>
      </c>
      <c r="K53" t="inlineStr">
        <is>
          <t>not XBRL-tagged (read from filing text)</t>
        </is>
      </c>
      <c r="L53" t="inlineStr"/>
      <c r="M53" t="inlineStr">
        <is>
          <t>https://www.sec.gov/Archives/edgar/data/1318605/000162828026003952/tsla-20251231.htm</t>
        </is>
      </c>
    </row>
    <row r="54">
      <c r="A54" t="inlineStr">
        <is>
          <t>rd</t>
        </is>
      </c>
      <c r="B54" t="inlineStr">
        <is>
          <t>Research and development</t>
        </is>
      </c>
      <c r="C54" t="inlineStr">
        <is>
          <t>Income statement</t>
        </is>
      </c>
      <c r="D54" t="inlineStr">
        <is>
          <t>H1_2026</t>
        </is>
      </c>
      <c r="E54" s="4" t="n">
        <v>4317</v>
      </c>
      <c r="F54" t="inlineStr">
        <is>
          <t>USD m</t>
        </is>
      </c>
      <c r="G54" t="inlineStr">
        <is>
          <t>10-Q - Q2 2026 (quarter ended 2026-06-30)</t>
        </is>
      </c>
      <c r="H54" t="inlineStr">
        <is>
          <t>0001628280-26-049270</t>
        </is>
      </c>
      <c r="I54" t="inlineStr">
        <is>
          <t>Part I Item 1, Consolidated Statements of Operations (six months), p.5</t>
        </is>
      </c>
      <c r="J54" t="inlineStr">
        <is>
          <t>Quarterly report (10-Q)</t>
        </is>
      </c>
      <c r="K54" t="inlineStr">
        <is>
          <t>not XBRL-tagged (read from filing text)</t>
        </is>
      </c>
      <c r="L54" t="inlineStr"/>
      <c r="M54" t="inlineStr">
        <is>
          <t>https://www.sec.gov/Archives/edgar/data/1318605/000162828026049270/tsla-20260630.htm</t>
        </is>
      </c>
    </row>
    <row r="55">
      <c r="A55" t="inlineStr">
        <is>
          <t>sga</t>
        </is>
      </c>
      <c r="B55" t="inlineStr">
        <is>
          <t>Selling, general and administrative</t>
        </is>
      </c>
      <c r="C55" t="inlineStr">
        <is>
          <t>Income statement</t>
        </is>
      </c>
      <c r="D55" t="inlineStr">
        <is>
          <t>FY2023</t>
        </is>
      </c>
      <c r="E55" s="4" t="n">
        <v>4800</v>
      </c>
      <c r="F55" t="inlineStr">
        <is>
          <t>USD m</t>
        </is>
      </c>
      <c r="G55" t="inlineStr">
        <is>
          <t>10-K - FY2025 (year ended 2025-12-31)</t>
        </is>
      </c>
      <c r="H55" t="inlineStr">
        <is>
          <t>0001628280-26-003952</t>
        </is>
      </c>
      <c r="I55" t="inlineStr">
        <is>
          <t>Part II Item 8, Consolidated Statements of Operations, p.50</t>
        </is>
      </c>
      <c r="J55" t="inlineStr">
        <is>
          <t>Annual report (10-K)</t>
        </is>
      </c>
      <c r="K55" t="inlineStr">
        <is>
          <t>not XBRL-tagged (read from filing text)</t>
        </is>
      </c>
      <c r="L55" t="inlineStr"/>
      <c r="M55" t="inlineStr">
        <is>
          <t>https://www.sec.gov/Archives/edgar/data/1318605/000162828026003952/tsla-20251231.htm</t>
        </is>
      </c>
    </row>
    <row r="56">
      <c r="A56" t="inlineStr">
        <is>
          <t>sga</t>
        </is>
      </c>
      <c r="B56" t="inlineStr">
        <is>
          <t>Selling, general and administrative</t>
        </is>
      </c>
      <c r="C56" t="inlineStr">
        <is>
          <t>Income statement</t>
        </is>
      </c>
      <c r="D56" t="inlineStr">
        <is>
          <t>FY2024</t>
        </is>
      </c>
      <c r="E56" s="4" t="n">
        <v>5150</v>
      </c>
      <c r="F56" t="inlineStr">
        <is>
          <t>USD m</t>
        </is>
      </c>
      <c r="G56" t="inlineStr">
        <is>
          <t>10-K - FY2025 (year ended 2025-12-31)</t>
        </is>
      </c>
      <c r="H56" t="inlineStr">
        <is>
          <t>0001628280-26-003952</t>
        </is>
      </c>
      <c r="I56" t="inlineStr">
        <is>
          <t>Part II Item 8, Consolidated Statements of Operations, p.50</t>
        </is>
      </c>
      <c r="J56" t="inlineStr">
        <is>
          <t>Annual report (10-K)</t>
        </is>
      </c>
      <c r="K56" t="inlineStr">
        <is>
          <t>not XBRL-tagged (read from filing text)</t>
        </is>
      </c>
      <c r="L56" t="inlineStr"/>
      <c r="M56" t="inlineStr">
        <is>
          <t>https://www.sec.gov/Archives/edgar/data/1318605/000162828026003952/tsla-20251231.htm</t>
        </is>
      </c>
    </row>
    <row r="57">
      <c r="A57" t="inlineStr">
        <is>
          <t>sga</t>
        </is>
      </c>
      <c r="B57" t="inlineStr">
        <is>
          <t>Selling, general and administrative</t>
        </is>
      </c>
      <c r="C57" t="inlineStr">
        <is>
          <t>Income statement</t>
        </is>
      </c>
      <c r="D57" t="inlineStr">
        <is>
          <t>FY2025</t>
        </is>
      </c>
      <c r="E57" s="4" t="n">
        <v>5834</v>
      </c>
      <c r="F57" t="inlineStr">
        <is>
          <t>USD m</t>
        </is>
      </c>
      <c r="G57" t="inlineStr">
        <is>
          <t>10-K - FY2025 (year ended 2025-12-31)</t>
        </is>
      </c>
      <c r="H57" t="inlineStr">
        <is>
          <t>0001628280-26-003952</t>
        </is>
      </c>
      <c r="I57" t="inlineStr">
        <is>
          <t>Part II Item 8, Consolidated Statements of Operations, p.50</t>
        </is>
      </c>
      <c r="J57" t="inlineStr">
        <is>
          <t>Annual report (10-K)</t>
        </is>
      </c>
      <c r="K57" t="inlineStr">
        <is>
          <t>not XBRL-tagged (read from filing text)</t>
        </is>
      </c>
      <c r="L57" t="inlineStr"/>
      <c r="M57" t="inlineStr">
        <is>
          <t>https://www.sec.gov/Archives/edgar/data/1318605/000162828026003952/tsla-20251231.htm</t>
        </is>
      </c>
    </row>
    <row r="58">
      <c r="A58" t="inlineStr">
        <is>
          <t>sga</t>
        </is>
      </c>
      <c r="B58" t="inlineStr">
        <is>
          <t>Selling, general and administrative</t>
        </is>
      </c>
      <c r="C58" t="inlineStr">
        <is>
          <t>Income statement</t>
        </is>
      </c>
      <c r="D58" t="inlineStr">
        <is>
          <t>H1_2026</t>
        </is>
      </c>
      <c r="E58" s="4" t="n">
        <v>3815</v>
      </c>
      <c r="F58" t="inlineStr">
        <is>
          <t>USD m</t>
        </is>
      </c>
      <c r="G58" t="inlineStr">
        <is>
          <t>10-Q - Q2 2026 (quarter ended 2026-06-30)</t>
        </is>
      </c>
      <c r="H58" t="inlineStr">
        <is>
          <t>0001628280-26-049270</t>
        </is>
      </c>
      <c r="I58" t="inlineStr">
        <is>
          <t>Part I Item 1, Consolidated Statements of Operations (six months), p.5</t>
        </is>
      </c>
      <c r="J58" t="inlineStr">
        <is>
          <t>Quarterly report (10-Q)</t>
        </is>
      </c>
      <c r="K58" t="inlineStr">
        <is>
          <t>not XBRL-tagged (read from filing text)</t>
        </is>
      </c>
      <c r="L58" t="inlineStr"/>
      <c r="M58" t="inlineStr">
        <is>
          <t>https://www.sec.gov/Archives/edgar/data/1318605/000162828026049270/tsla-20260630.htm</t>
        </is>
      </c>
    </row>
    <row r="59">
      <c r="A59" t="inlineStr">
        <is>
          <t>restructuring</t>
        </is>
      </c>
      <c r="B59" t="inlineStr">
        <is>
          <t>Restructuring and other (non-recurring)</t>
        </is>
      </c>
      <c r="C59" t="inlineStr">
        <is>
          <t>Income statement</t>
        </is>
      </c>
      <c r="D59" t="inlineStr">
        <is>
          <t>FY2023</t>
        </is>
      </c>
      <c r="E59" s="4" t="n">
        <v>0</v>
      </c>
      <c r="F59" t="inlineStr">
        <is>
          <t>USD m</t>
        </is>
      </c>
      <c r="G59" t="inlineStr">
        <is>
          <t>10-K - FY2025 (year ended 2025-12-31)</t>
        </is>
      </c>
      <c r="H59" t="inlineStr">
        <is>
          <t>0001628280-26-003952</t>
        </is>
      </c>
      <c r="I59" t="inlineStr">
        <is>
          <t>Part II Item 8, Consolidated Statements of Operations, p.50</t>
        </is>
      </c>
      <c r="J59" t="inlineStr">
        <is>
          <t>Annual report (10-K)</t>
        </is>
      </c>
      <c r="K59" t="inlineStr">
        <is>
          <t>not XBRL-tagged (read from filing text)</t>
        </is>
      </c>
      <c r="L59" t="inlineStr">
        <is>
          <t>Excluded from forward forecast as non-recurring.</t>
        </is>
      </c>
      <c r="M59" t="inlineStr">
        <is>
          <t>https://www.sec.gov/Archives/edgar/data/1318605/000162828026003952/tsla-20251231.htm</t>
        </is>
      </c>
    </row>
    <row r="60">
      <c r="A60" t="inlineStr">
        <is>
          <t>restructuring</t>
        </is>
      </c>
      <c r="B60" t="inlineStr">
        <is>
          <t>Restructuring and other (non-recurring)</t>
        </is>
      </c>
      <c r="C60" t="inlineStr">
        <is>
          <t>Income statement</t>
        </is>
      </c>
      <c r="D60" t="inlineStr">
        <is>
          <t>FY2024</t>
        </is>
      </c>
      <c r="E60" s="4" t="n">
        <v>684</v>
      </c>
      <c r="F60" t="inlineStr">
        <is>
          <t>USD m</t>
        </is>
      </c>
      <c r="G60" t="inlineStr">
        <is>
          <t>10-K - FY2025 (year ended 2025-12-31)</t>
        </is>
      </c>
      <c r="H60" t="inlineStr">
        <is>
          <t>0001628280-26-003952</t>
        </is>
      </c>
      <c r="I60" t="inlineStr">
        <is>
          <t>Part II Item 8, Consolidated Statements of Operations, p.50</t>
        </is>
      </c>
      <c r="J60" t="inlineStr">
        <is>
          <t>Annual report (10-K)</t>
        </is>
      </c>
      <c r="K60" t="inlineStr">
        <is>
          <t>not XBRL-tagged (read from filing text)</t>
        </is>
      </c>
      <c r="L60" t="inlineStr">
        <is>
          <t>Excluded from forward forecast as non-recurring.</t>
        </is>
      </c>
      <c r="M60" t="inlineStr">
        <is>
          <t>https://www.sec.gov/Archives/edgar/data/1318605/000162828026003952/tsla-20251231.htm</t>
        </is>
      </c>
    </row>
    <row r="61">
      <c r="A61" t="inlineStr">
        <is>
          <t>restructuring</t>
        </is>
      </c>
      <c r="B61" t="inlineStr">
        <is>
          <t>Restructuring and other (non-recurring)</t>
        </is>
      </c>
      <c r="C61" t="inlineStr">
        <is>
          <t>Income statement</t>
        </is>
      </c>
      <c r="D61" t="inlineStr">
        <is>
          <t>FY2025</t>
        </is>
      </c>
      <c r="E61" s="4" t="n">
        <v>494</v>
      </c>
      <c r="F61" t="inlineStr">
        <is>
          <t>USD m</t>
        </is>
      </c>
      <c r="G61" t="inlineStr">
        <is>
          <t>10-K - FY2025 (year ended 2025-12-31)</t>
        </is>
      </c>
      <c r="H61" t="inlineStr">
        <is>
          <t>0001628280-26-003952</t>
        </is>
      </c>
      <c r="I61" t="inlineStr">
        <is>
          <t>Part II Item 8, Consolidated Statements of Operations, p.50</t>
        </is>
      </c>
      <c r="J61" t="inlineStr">
        <is>
          <t>Annual report (10-K)</t>
        </is>
      </c>
      <c r="K61" t="inlineStr">
        <is>
          <t>not XBRL-tagged (read from filing text)</t>
        </is>
      </c>
      <c r="L61" t="inlineStr">
        <is>
          <t>Excluded from forward forecast as non-recurring.</t>
        </is>
      </c>
      <c r="M61" t="inlineStr">
        <is>
          <t>https://www.sec.gov/Archives/edgar/data/1318605/000162828026003952/tsla-20251231.htm</t>
        </is>
      </c>
    </row>
    <row r="62">
      <c r="A62" t="inlineStr">
        <is>
          <t>restructuring</t>
        </is>
      </c>
      <c r="B62" t="inlineStr">
        <is>
          <t>Restructuring and other (non-recurring)</t>
        </is>
      </c>
      <c r="C62" t="inlineStr">
        <is>
          <t>Income statement</t>
        </is>
      </c>
      <c r="D62" t="inlineStr">
        <is>
          <t>H1_2026</t>
        </is>
      </c>
      <c r="E62" s="4" t="n">
        <v>0</v>
      </c>
      <c r="F62" t="inlineStr">
        <is>
          <t>USD m</t>
        </is>
      </c>
      <c r="G62" t="inlineStr">
        <is>
          <t>10-Q - Q2 2026 (quarter ended 2026-06-30)</t>
        </is>
      </c>
      <c r="H62" t="inlineStr">
        <is>
          <t>0001628280-26-049270</t>
        </is>
      </c>
      <c r="I62" t="inlineStr">
        <is>
          <t>Part I Item 1, Consolidated Statements of Operations (six months), p.5</t>
        </is>
      </c>
      <c r="J62" t="inlineStr">
        <is>
          <t>Quarterly report (10-Q)</t>
        </is>
      </c>
      <c r="K62" t="inlineStr">
        <is>
          <t>not XBRL-tagged (read from filing text)</t>
        </is>
      </c>
      <c r="L62" t="inlineStr">
        <is>
          <t>Excluded from forward forecast as non-recurring.</t>
        </is>
      </c>
      <c r="M62" t="inlineStr">
        <is>
          <t>https://www.sec.gov/Archives/edgar/data/1318605/000162828026049270/tsla-20260630.htm</t>
        </is>
      </c>
    </row>
    <row r="63">
      <c r="A63" t="inlineStr">
        <is>
          <t>opex_total</t>
        </is>
      </c>
      <c r="B63" t="inlineStr">
        <is>
          <t>Total operating expenses</t>
        </is>
      </c>
      <c r="C63" t="inlineStr">
        <is>
          <t>Income statement</t>
        </is>
      </c>
      <c r="D63" t="inlineStr">
        <is>
          <t>FY2023</t>
        </is>
      </c>
      <c r="E63" s="4" t="n">
        <v>8769</v>
      </c>
      <c r="F63" t="inlineStr">
        <is>
          <t>USD m</t>
        </is>
      </c>
      <c r="G63" t="inlineStr">
        <is>
          <t>10-K - FY2025 (year ended 2025-12-31)</t>
        </is>
      </c>
      <c r="H63" t="inlineStr">
        <is>
          <t>0001628280-26-003952</t>
        </is>
      </c>
      <c r="I63" t="inlineStr">
        <is>
          <t>Part II Item 8, Consolidated Statements of Operations, p.50</t>
        </is>
      </c>
      <c r="J63" t="inlineStr">
        <is>
          <t>Annual report (10-K)</t>
        </is>
      </c>
      <c r="K63" t="inlineStr">
        <is>
          <t>not XBRL-tagged (read from filing text)</t>
        </is>
      </c>
      <c r="L63" t="inlineStr"/>
      <c r="M63" t="inlineStr">
        <is>
          <t>https://www.sec.gov/Archives/edgar/data/1318605/000162828026003952/tsla-20251231.htm</t>
        </is>
      </c>
    </row>
    <row r="64">
      <c r="A64" t="inlineStr">
        <is>
          <t>opex_total</t>
        </is>
      </c>
      <c r="B64" t="inlineStr">
        <is>
          <t>Total operating expenses</t>
        </is>
      </c>
      <c r="C64" t="inlineStr">
        <is>
          <t>Income statement</t>
        </is>
      </c>
      <c r="D64" t="inlineStr">
        <is>
          <t>FY2024</t>
        </is>
      </c>
      <c r="E64" s="4" t="n">
        <v>10374</v>
      </c>
      <c r="F64" t="inlineStr">
        <is>
          <t>USD m</t>
        </is>
      </c>
      <c r="G64" t="inlineStr">
        <is>
          <t>10-K - FY2025 (year ended 2025-12-31)</t>
        </is>
      </c>
      <c r="H64" t="inlineStr">
        <is>
          <t>0001628280-26-003952</t>
        </is>
      </c>
      <c r="I64" t="inlineStr">
        <is>
          <t>Part II Item 8, Consolidated Statements of Operations, p.50</t>
        </is>
      </c>
      <c r="J64" t="inlineStr">
        <is>
          <t>Annual report (10-K)</t>
        </is>
      </c>
      <c r="K64" t="inlineStr">
        <is>
          <t>not XBRL-tagged (read from filing text)</t>
        </is>
      </c>
      <c r="L64" t="inlineStr"/>
      <c r="M64" t="inlineStr">
        <is>
          <t>https://www.sec.gov/Archives/edgar/data/1318605/000162828026003952/tsla-20251231.htm</t>
        </is>
      </c>
    </row>
    <row r="65">
      <c r="A65" t="inlineStr">
        <is>
          <t>opex_total</t>
        </is>
      </c>
      <c r="B65" t="inlineStr">
        <is>
          <t>Total operating expenses</t>
        </is>
      </c>
      <c r="C65" t="inlineStr">
        <is>
          <t>Income statement</t>
        </is>
      </c>
      <c r="D65" t="inlineStr">
        <is>
          <t>FY2025</t>
        </is>
      </c>
      <c r="E65" s="4" t="n">
        <v>12739</v>
      </c>
      <c r="F65" t="inlineStr">
        <is>
          <t>USD m</t>
        </is>
      </c>
      <c r="G65" t="inlineStr">
        <is>
          <t>10-K - FY2025 (year ended 2025-12-31)</t>
        </is>
      </c>
      <c r="H65" t="inlineStr">
        <is>
          <t>0001628280-26-003952</t>
        </is>
      </c>
      <c r="I65" t="inlineStr">
        <is>
          <t>Part II Item 8, Consolidated Statements of Operations, p.50</t>
        </is>
      </c>
      <c r="J65" t="inlineStr">
        <is>
          <t>Annual report (10-K)</t>
        </is>
      </c>
      <c r="K65" t="inlineStr">
        <is>
          <t>not XBRL-tagged (read from filing text)</t>
        </is>
      </c>
      <c r="L65" t="inlineStr"/>
      <c r="M65" t="inlineStr">
        <is>
          <t>https://www.sec.gov/Archives/edgar/data/1318605/000162828026003952/tsla-20251231.htm</t>
        </is>
      </c>
    </row>
    <row r="66">
      <c r="A66" t="inlineStr">
        <is>
          <t>opex_total</t>
        </is>
      </c>
      <c r="B66" t="inlineStr">
        <is>
          <t>Total operating expenses</t>
        </is>
      </c>
      <c r="C66" t="inlineStr">
        <is>
          <t>Income statement</t>
        </is>
      </c>
      <c r="D66" t="inlineStr">
        <is>
          <t>H1_2026</t>
        </is>
      </c>
      <c r="E66" s="4" t="n">
        <v>8132</v>
      </c>
      <c r="F66" t="inlineStr">
        <is>
          <t>USD m</t>
        </is>
      </c>
      <c r="G66" t="inlineStr">
        <is>
          <t>10-Q - Q2 2026 (quarter ended 2026-06-30)</t>
        </is>
      </c>
      <c r="H66" t="inlineStr">
        <is>
          <t>0001628280-26-049270</t>
        </is>
      </c>
      <c r="I66" t="inlineStr">
        <is>
          <t>Part I Item 1, Consolidated Statements of Operations (six months), p.5</t>
        </is>
      </c>
      <c r="J66" t="inlineStr">
        <is>
          <t>Quarterly report (10-Q)</t>
        </is>
      </c>
      <c r="K66" t="inlineStr">
        <is>
          <t>not XBRL-tagged (read from filing text)</t>
        </is>
      </c>
      <c r="L66" t="inlineStr"/>
      <c r="M66" t="inlineStr">
        <is>
          <t>https://www.sec.gov/Archives/edgar/data/1318605/000162828026049270/tsla-20260630.htm</t>
        </is>
      </c>
    </row>
    <row r="67">
      <c r="A67" t="inlineStr">
        <is>
          <t>ebit</t>
        </is>
      </c>
      <c r="B67" t="inlineStr">
        <is>
          <t>Income from operations</t>
        </is>
      </c>
      <c r="C67" t="inlineStr">
        <is>
          <t>Income statement</t>
        </is>
      </c>
      <c r="D67" t="inlineStr">
        <is>
          <t>FY2023</t>
        </is>
      </c>
      <c r="E67" s="4" t="n">
        <v>8891</v>
      </c>
      <c r="F67" t="inlineStr">
        <is>
          <t>USD m</t>
        </is>
      </c>
      <c r="G67" t="inlineStr">
        <is>
          <t>10-K - FY2025 (year ended 2025-12-31)</t>
        </is>
      </c>
      <c r="H67" t="inlineStr">
        <is>
          <t>0001628280-26-003952</t>
        </is>
      </c>
      <c r="I67" t="inlineStr">
        <is>
          <t>Part II Item 8, Consolidated Statements of Operations, p.50</t>
        </is>
      </c>
      <c r="J67" t="inlineStr">
        <is>
          <t>Annual report (10-K)</t>
        </is>
      </c>
      <c r="K67" t="inlineStr">
        <is>
          <t>not XBRL-tagged (read from filing text)</t>
        </is>
      </c>
      <c r="L67" t="inlineStr"/>
      <c r="M67" t="inlineStr">
        <is>
          <t>https://www.sec.gov/Archives/edgar/data/1318605/000162828026003952/tsla-20251231.htm</t>
        </is>
      </c>
    </row>
    <row r="68">
      <c r="A68" t="inlineStr">
        <is>
          <t>ebit</t>
        </is>
      </c>
      <c r="B68" t="inlineStr">
        <is>
          <t>Income from operations</t>
        </is>
      </c>
      <c r="C68" t="inlineStr">
        <is>
          <t>Income statement</t>
        </is>
      </c>
      <c r="D68" t="inlineStr">
        <is>
          <t>FY2024</t>
        </is>
      </c>
      <c r="E68" s="4" t="n">
        <v>7076</v>
      </c>
      <c r="F68" t="inlineStr">
        <is>
          <t>USD m</t>
        </is>
      </c>
      <c r="G68" t="inlineStr">
        <is>
          <t>10-K - FY2025 (year ended 2025-12-31)</t>
        </is>
      </c>
      <c r="H68" t="inlineStr">
        <is>
          <t>0001628280-26-003952</t>
        </is>
      </c>
      <c r="I68" t="inlineStr">
        <is>
          <t>Part II Item 8, Consolidated Statements of Operations, p.50</t>
        </is>
      </c>
      <c r="J68" t="inlineStr">
        <is>
          <t>Annual report (10-K)</t>
        </is>
      </c>
      <c r="K68" t="inlineStr">
        <is>
          <t>not XBRL-tagged (read from filing text)</t>
        </is>
      </c>
      <c r="L68" t="inlineStr"/>
      <c r="M68" t="inlineStr">
        <is>
          <t>https://www.sec.gov/Archives/edgar/data/1318605/000162828026003952/tsla-20251231.htm</t>
        </is>
      </c>
    </row>
    <row r="69">
      <c r="A69" t="inlineStr">
        <is>
          <t>ebit</t>
        </is>
      </c>
      <c r="B69" t="inlineStr">
        <is>
          <t>Income from operations</t>
        </is>
      </c>
      <c r="C69" t="inlineStr">
        <is>
          <t>Income statement</t>
        </is>
      </c>
      <c r="D69" t="inlineStr">
        <is>
          <t>FY2025</t>
        </is>
      </c>
      <c r="E69" s="4" t="n">
        <v>4355</v>
      </c>
      <c r="F69" t="inlineStr">
        <is>
          <t>USD m</t>
        </is>
      </c>
      <c r="G69" t="inlineStr">
        <is>
          <t>10-K - FY2025 (year ended 2025-12-31)</t>
        </is>
      </c>
      <c r="H69" t="inlineStr">
        <is>
          <t>0001628280-26-003952</t>
        </is>
      </c>
      <c r="I69" t="inlineStr">
        <is>
          <t>Part II Item 8, Consolidated Statements of Operations, p.50</t>
        </is>
      </c>
      <c r="J69" t="inlineStr">
        <is>
          <t>Annual report (10-K)</t>
        </is>
      </c>
      <c r="K69" t="inlineStr">
        <is>
          <t>not XBRL-tagged (read from filing text)</t>
        </is>
      </c>
      <c r="L69" t="inlineStr"/>
      <c r="M69" t="inlineStr">
        <is>
          <t>https://www.sec.gov/Archives/edgar/data/1318605/000162828026003952/tsla-20251231.htm</t>
        </is>
      </c>
    </row>
    <row r="70">
      <c r="A70" t="inlineStr">
        <is>
          <t>ebit</t>
        </is>
      </c>
      <c r="B70" t="inlineStr">
        <is>
          <t>Income from operations</t>
        </is>
      </c>
      <c r="C70" t="inlineStr">
        <is>
          <t>Income statement</t>
        </is>
      </c>
      <c r="D70" t="inlineStr">
        <is>
          <t>H1_2026</t>
        </is>
      </c>
      <c r="E70" s="4" t="n">
        <v>1339</v>
      </c>
      <c r="F70" t="inlineStr">
        <is>
          <t>USD m</t>
        </is>
      </c>
      <c r="G70" t="inlineStr">
        <is>
          <t>10-Q - Q2 2026 (quarter ended 2026-06-30)</t>
        </is>
      </c>
      <c r="H70" t="inlineStr">
        <is>
          <t>0001628280-26-049270</t>
        </is>
      </c>
      <c r="I70" t="inlineStr">
        <is>
          <t>Part I Item 1, Consolidated Statements of Operations (six months), p.5</t>
        </is>
      </c>
      <c r="J70" t="inlineStr">
        <is>
          <t>Quarterly report (10-Q)</t>
        </is>
      </c>
      <c r="K70" t="inlineStr">
        <is>
          <t>not XBRL-tagged (read from filing text)</t>
        </is>
      </c>
      <c r="L70" t="inlineStr"/>
      <c r="M70" t="inlineStr">
        <is>
          <t>https://www.sec.gov/Archives/edgar/data/1318605/000162828026049270/tsla-20260630.htm</t>
        </is>
      </c>
    </row>
    <row r="71">
      <c r="A71" t="inlineStr">
        <is>
          <t>interest_income</t>
        </is>
      </c>
      <c r="B71" t="inlineStr">
        <is>
          <t>Interest income</t>
        </is>
      </c>
      <c r="C71" t="inlineStr">
        <is>
          <t>Income statement</t>
        </is>
      </c>
      <c r="D71" t="inlineStr">
        <is>
          <t>FY2023</t>
        </is>
      </c>
      <c r="E71" s="4" t="n">
        <v>1066</v>
      </c>
      <c r="F71" t="inlineStr">
        <is>
          <t>USD m</t>
        </is>
      </c>
      <c r="G71" t="inlineStr">
        <is>
          <t>10-K - FY2025 (year ended 2025-12-31)</t>
        </is>
      </c>
      <c r="H71" t="inlineStr">
        <is>
          <t>0001628280-26-003952</t>
        </is>
      </c>
      <c r="I71" t="inlineStr">
        <is>
          <t>Part II Item 8, Consolidated Statements of Operations, p.50</t>
        </is>
      </c>
      <c r="J71" t="inlineStr">
        <is>
          <t>Annual report (10-K)</t>
        </is>
      </c>
      <c r="K71" t="inlineStr">
        <is>
          <t>not XBRL-tagged (read from filing text)</t>
        </is>
      </c>
      <c r="L71" t="inlineStr"/>
      <c r="M71" t="inlineStr">
        <is>
          <t>https://www.sec.gov/Archives/edgar/data/1318605/000162828026003952/tsla-20251231.htm</t>
        </is>
      </c>
    </row>
    <row r="72">
      <c r="A72" t="inlineStr">
        <is>
          <t>interest_income</t>
        </is>
      </c>
      <c r="B72" t="inlineStr">
        <is>
          <t>Interest income</t>
        </is>
      </c>
      <c r="C72" t="inlineStr">
        <is>
          <t>Income statement</t>
        </is>
      </c>
      <c r="D72" t="inlineStr">
        <is>
          <t>FY2024</t>
        </is>
      </c>
      <c r="E72" s="4" t="n">
        <v>1569</v>
      </c>
      <c r="F72" t="inlineStr">
        <is>
          <t>USD m</t>
        </is>
      </c>
      <c r="G72" t="inlineStr">
        <is>
          <t>10-K - FY2025 (year ended 2025-12-31)</t>
        </is>
      </c>
      <c r="H72" t="inlineStr">
        <is>
          <t>0001628280-26-003952</t>
        </is>
      </c>
      <c r="I72" t="inlineStr">
        <is>
          <t>Part II Item 8, Consolidated Statements of Operations, p.50</t>
        </is>
      </c>
      <c r="J72" t="inlineStr">
        <is>
          <t>Annual report (10-K)</t>
        </is>
      </c>
      <c r="K72" t="inlineStr">
        <is>
          <t>not XBRL-tagged (read from filing text)</t>
        </is>
      </c>
      <c r="L72" t="inlineStr"/>
      <c r="M72" t="inlineStr">
        <is>
          <t>https://www.sec.gov/Archives/edgar/data/1318605/000162828026003952/tsla-20251231.htm</t>
        </is>
      </c>
    </row>
    <row r="73">
      <c r="A73" t="inlineStr">
        <is>
          <t>interest_income</t>
        </is>
      </c>
      <c r="B73" t="inlineStr">
        <is>
          <t>Interest income</t>
        </is>
      </c>
      <c r="C73" t="inlineStr">
        <is>
          <t>Income statement</t>
        </is>
      </c>
      <c r="D73" t="inlineStr">
        <is>
          <t>FY2025</t>
        </is>
      </c>
      <c r="E73" s="4" t="n">
        <v>1680</v>
      </c>
      <c r="F73" t="inlineStr">
        <is>
          <t>USD m</t>
        </is>
      </c>
      <c r="G73" t="inlineStr">
        <is>
          <t>10-K - FY2025 (year ended 2025-12-31)</t>
        </is>
      </c>
      <c r="H73" t="inlineStr">
        <is>
          <t>0001628280-26-003952</t>
        </is>
      </c>
      <c r="I73" t="inlineStr">
        <is>
          <t>Part II Item 8, Consolidated Statements of Operations, p.50</t>
        </is>
      </c>
      <c r="J73" t="inlineStr">
        <is>
          <t>Annual report (10-K)</t>
        </is>
      </c>
      <c r="K73" t="inlineStr">
        <is>
          <t>not XBRL-tagged (read from filing text)</t>
        </is>
      </c>
      <c r="L73" t="inlineStr"/>
      <c r="M73" t="inlineStr">
        <is>
          <t>https://www.sec.gov/Archives/edgar/data/1318605/000162828026003952/tsla-20251231.htm</t>
        </is>
      </c>
    </row>
    <row r="74">
      <c r="A74" t="inlineStr">
        <is>
          <t>interest_income</t>
        </is>
      </c>
      <c r="B74" t="inlineStr">
        <is>
          <t>Interest income</t>
        </is>
      </c>
      <c r="C74" t="inlineStr">
        <is>
          <t>Income statement</t>
        </is>
      </c>
      <c r="D74" t="inlineStr">
        <is>
          <t>H1_2026</t>
        </is>
      </c>
      <c r="E74" s="4" t="n">
        <v>856</v>
      </c>
      <c r="F74" t="inlineStr">
        <is>
          <t>USD m</t>
        </is>
      </c>
      <c r="G74" t="inlineStr">
        <is>
          <t>10-Q - Q2 2026 (quarter ended 2026-06-30)</t>
        </is>
      </c>
      <c r="H74" t="inlineStr">
        <is>
          <t>0001628280-26-049270</t>
        </is>
      </c>
      <c r="I74" t="inlineStr">
        <is>
          <t>Part I Item 1, Consolidated Statements of Operations (six months), p.5</t>
        </is>
      </c>
      <c r="J74" t="inlineStr">
        <is>
          <t>Quarterly report (10-Q)</t>
        </is>
      </c>
      <c r="K74" t="inlineStr">
        <is>
          <t>not XBRL-tagged (read from filing text)</t>
        </is>
      </c>
      <c r="L74" t="inlineStr"/>
      <c r="M74" t="inlineStr">
        <is>
          <t>https://www.sec.gov/Archives/edgar/data/1318605/000162828026049270/tsla-20260630.htm</t>
        </is>
      </c>
    </row>
    <row r="75">
      <c r="A75" t="inlineStr">
        <is>
          <t>interest_expense</t>
        </is>
      </c>
      <c r="B75" t="inlineStr">
        <is>
          <t>Interest expense</t>
        </is>
      </c>
      <c r="C75" t="inlineStr">
        <is>
          <t>Income statement</t>
        </is>
      </c>
      <c r="D75" t="inlineStr">
        <is>
          <t>FY2023</t>
        </is>
      </c>
      <c r="E75" s="4" t="n">
        <v>156</v>
      </c>
      <c r="F75" t="inlineStr">
        <is>
          <t>USD m</t>
        </is>
      </c>
      <c r="G75" t="inlineStr">
        <is>
          <t>10-K - FY2025 (year ended 2025-12-31)</t>
        </is>
      </c>
      <c r="H75" t="inlineStr">
        <is>
          <t>0001628280-26-003952</t>
        </is>
      </c>
      <c r="I75" t="inlineStr">
        <is>
          <t>Part II Item 8, Consolidated Statements of Operations, p.50</t>
        </is>
      </c>
      <c r="J75" t="inlineStr">
        <is>
          <t>Annual report (10-K)</t>
        </is>
      </c>
      <c r="K75" t="inlineStr">
        <is>
          <t>not XBRL-tagged (read from filing text)</t>
        </is>
      </c>
      <c r="L75" t="inlineStr"/>
      <c r="M75" t="inlineStr">
        <is>
          <t>https://www.sec.gov/Archives/edgar/data/1318605/000162828026003952/tsla-20251231.htm</t>
        </is>
      </c>
    </row>
    <row r="76">
      <c r="A76" t="inlineStr">
        <is>
          <t>interest_expense</t>
        </is>
      </c>
      <c r="B76" t="inlineStr">
        <is>
          <t>Interest expense</t>
        </is>
      </c>
      <c r="C76" t="inlineStr">
        <is>
          <t>Income statement</t>
        </is>
      </c>
      <c r="D76" t="inlineStr">
        <is>
          <t>FY2024</t>
        </is>
      </c>
      <c r="E76" s="4" t="n">
        <v>350</v>
      </c>
      <c r="F76" t="inlineStr">
        <is>
          <t>USD m</t>
        </is>
      </c>
      <c r="G76" t="inlineStr">
        <is>
          <t>10-K - FY2025 (year ended 2025-12-31)</t>
        </is>
      </c>
      <c r="H76" t="inlineStr">
        <is>
          <t>0001628280-26-003952</t>
        </is>
      </c>
      <c r="I76" t="inlineStr">
        <is>
          <t>Part II Item 8, Consolidated Statements of Operations, p.50</t>
        </is>
      </c>
      <c r="J76" t="inlineStr">
        <is>
          <t>Annual report (10-K)</t>
        </is>
      </c>
      <c r="K76" t="inlineStr">
        <is>
          <t>not XBRL-tagged (read from filing text)</t>
        </is>
      </c>
      <c r="L76" t="inlineStr"/>
      <c r="M76" t="inlineStr">
        <is>
          <t>https://www.sec.gov/Archives/edgar/data/1318605/000162828026003952/tsla-20251231.htm</t>
        </is>
      </c>
    </row>
    <row r="77">
      <c r="A77" t="inlineStr">
        <is>
          <t>interest_expense</t>
        </is>
      </c>
      <c r="B77" t="inlineStr">
        <is>
          <t>Interest expense</t>
        </is>
      </c>
      <c r="C77" t="inlineStr">
        <is>
          <t>Income statement</t>
        </is>
      </c>
      <c r="D77" t="inlineStr">
        <is>
          <t>FY2025</t>
        </is>
      </c>
      <c r="E77" s="4" t="n">
        <v>338</v>
      </c>
      <c r="F77" t="inlineStr">
        <is>
          <t>USD m</t>
        </is>
      </c>
      <c r="G77" t="inlineStr">
        <is>
          <t>10-K - FY2025 (year ended 2025-12-31)</t>
        </is>
      </c>
      <c r="H77" t="inlineStr">
        <is>
          <t>0001628280-26-003952</t>
        </is>
      </c>
      <c r="I77" t="inlineStr">
        <is>
          <t>Part II Item 8, Consolidated Statements of Operations, p.50</t>
        </is>
      </c>
      <c r="J77" t="inlineStr">
        <is>
          <t>Annual report (10-K)</t>
        </is>
      </c>
      <c r="K77" t="inlineStr">
        <is>
          <t>not XBRL-tagged (read from filing text)</t>
        </is>
      </c>
      <c r="L77" t="inlineStr"/>
      <c r="M77" t="inlineStr">
        <is>
          <t>https://www.sec.gov/Archives/edgar/data/1318605/000162828026003952/tsla-20251231.htm</t>
        </is>
      </c>
    </row>
    <row r="78">
      <c r="A78" t="inlineStr">
        <is>
          <t>interest_expense</t>
        </is>
      </c>
      <c r="B78" t="inlineStr">
        <is>
          <t>Interest expense</t>
        </is>
      </c>
      <c r="C78" t="inlineStr">
        <is>
          <t>Income statement</t>
        </is>
      </c>
      <c r="D78" t="inlineStr">
        <is>
          <t>H1_2026</t>
        </is>
      </c>
      <c r="E78" s="4" t="n">
        <v>173</v>
      </c>
      <c r="F78" t="inlineStr">
        <is>
          <t>USD m</t>
        </is>
      </c>
      <c r="G78" t="inlineStr">
        <is>
          <t>10-Q - Q2 2026 (quarter ended 2026-06-30)</t>
        </is>
      </c>
      <c r="H78" t="inlineStr">
        <is>
          <t>0001628280-26-049270</t>
        </is>
      </c>
      <c r="I78" t="inlineStr">
        <is>
          <t>Part I Item 1, Consolidated Statements of Operations (six months), p.5</t>
        </is>
      </c>
      <c r="J78" t="inlineStr">
        <is>
          <t>Quarterly report (10-Q)</t>
        </is>
      </c>
      <c r="K78" t="inlineStr">
        <is>
          <t>not XBRL-tagged (read from filing text)</t>
        </is>
      </c>
      <c r="L78" t="inlineStr"/>
      <c r="M78" t="inlineStr">
        <is>
          <t>https://www.sec.gov/Archives/edgar/data/1318605/000162828026049270/tsla-20260630.htm</t>
        </is>
      </c>
    </row>
    <row r="79">
      <c r="A79" t="inlineStr">
        <is>
          <t>other_income</t>
        </is>
      </c>
      <c r="B79" t="inlineStr">
        <is>
          <t>Other income (expense), net (non-recurring)</t>
        </is>
      </c>
      <c r="C79" t="inlineStr">
        <is>
          <t>Income statement</t>
        </is>
      </c>
      <c r="D79" t="inlineStr">
        <is>
          <t>FY2023</t>
        </is>
      </c>
      <c r="E79" s="4" t="n">
        <v>172</v>
      </c>
      <c r="F79" t="inlineStr">
        <is>
          <t>USD m</t>
        </is>
      </c>
      <c r="G79" t="inlineStr">
        <is>
          <t>10-K - FY2025 (year ended 2025-12-31)</t>
        </is>
      </c>
      <c r="H79" t="inlineStr">
        <is>
          <t>0001628280-26-003952</t>
        </is>
      </c>
      <c r="I79" t="inlineStr">
        <is>
          <t>Part II Item 8, Consolidated Statements of Operations, p.50</t>
        </is>
      </c>
      <c r="J79" t="inlineStr">
        <is>
          <t>Annual report (10-K)</t>
        </is>
      </c>
      <c r="K79" t="inlineStr">
        <is>
          <t>not XBRL-tagged (read from filing text)</t>
        </is>
      </c>
      <c r="L79" t="inlineStr">
        <is>
          <t>FX remeasurement, digital-asset and SpaceX fair-value gains/losses; excluded from forward forecast.</t>
        </is>
      </c>
      <c r="M79" t="inlineStr">
        <is>
          <t>https://www.sec.gov/Archives/edgar/data/1318605/000162828026003952/tsla-20251231.htm</t>
        </is>
      </c>
    </row>
    <row r="80">
      <c r="A80" t="inlineStr">
        <is>
          <t>other_income</t>
        </is>
      </c>
      <c r="B80" t="inlineStr">
        <is>
          <t>Other income (expense), net (non-recurring)</t>
        </is>
      </c>
      <c r="C80" t="inlineStr">
        <is>
          <t>Income statement</t>
        </is>
      </c>
      <c r="D80" t="inlineStr">
        <is>
          <t>FY2024</t>
        </is>
      </c>
      <c r="E80" s="4" t="n">
        <v>695</v>
      </c>
      <c r="F80" t="inlineStr">
        <is>
          <t>USD m</t>
        </is>
      </c>
      <c r="G80" t="inlineStr">
        <is>
          <t>10-K - FY2025 (year ended 2025-12-31)</t>
        </is>
      </c>
      <c r="H80" t="inlineStr">
        <is>
          <t>0001628280-26-003952</t>
        </is>
      </c>
      <c r="I80" t="inlineStr">
        <is>
          <t>Part II Item 8, Consolidated Statements of Operations, p.50</t>
        </is>
      </c>
      <c r="J80" t="inlineStr">
        <is>
          <t>Annual report (10-K)</t>
        </is>
      </c>
      <c r="K80" t="inlineStr">
        <is>
          <t>not XBRL-tagged (read from filing text)</t>
        </is>
      </c>
      <c r="L80" t="inlineStr">
        <is>
          <t>FX remeasurement, digital-asset and SpaceX fair-value gains/losses; excluded from forward forecast.</t>
        </is>
      </c>
      <c r="M80" t="inlineStr">
        <is>
          <t>https://www.sec.gov/Archives/edgar/data/1318605/000162828026003952/tsla-20251231.htm</t>
        </is>
      </c>
    </row>
    <row r="81">
      <c r="A81" t="inlineStr">
        <is>
          <t>other_income</t>
        </is>
      </c>
      <c r="B81" t="inlineStr">
        <is>
          <t>Other income (expense), net (non-recurring)</t>
        </is>
      </c>
      <c r="C81" t="inlineStr">
        <is>
          <t>Income statement</t>
        </is>
      </c>
      <c r="D81" t="inlineStr">
        <is>
          <t>FY2025</t>
        </is>
      </c>
      <c r="E81" s="4" t="n">
        <v>-419</v>
      </c>
      <c r="F81" t="inlineStr">
        <is>
          <t>USD m</t>
        </is>
      </c>
      <c r="G81" t="inlineStr">
        <is>
          <t>10-K - FY2025 (year ended 2025-12-31)</t>
        </is>
      </c>
      <c r="H81" t="inlineStr">
        <is>
          <t>0001628280-26-003952</t>
        </is>
      </c>
      <c r="I81" t="inlineStr">
        <is>
          <t>Part II Item 8, Consolidated Statements of Operations, p.50</t>
        </is>
      </c>
      <c r="J81" t="inlineStr">
        <is>
          <t>Annual report (10-K)</t>
        </is>
      </c>
      <c r="K81" t="inlineStr">
        <is>
          <t>not XBRL-tagged (read from filing text)</t>
        </is>
      </c>
      <c r="L81" t="inlineStr">
        <is>
          <t>FX remeasurement, digital-asset and SpaceX fair-value gains/losses; excluded from forward forecast.</t>
        </is>
      </c>
      <c r="M81" t="inlineStr">
        <is>
          <t>https://www.sec.gov/Archives/edgar/data/1318605/000162828026003952/tsla-20251231.htm</t>
        </is>
      </c>
    </row>
    <row r="82">
      <c r="A82" t="inlineStr">
        <is>
          <t>other_income</t>
        </is>
      </c>
      <c r="B82" t="inlineStr">
        <is>
          <t>Other income (expense), net (non-recurring)</t>
        </is>
      </c>
      <c r="C82" t="inlineStr">
        <is>
          <t>Income statement</t>
        </is>
      </c>
      <c r="D82" t="inlineStr">
        <is>
          <t>H1_2026</t>
        </is>
      </c>
      <c r="E82" s="4" t="n">
        <v>55</v>
      </c>
      <c r="F82" t="inlineStr">
        <is>
          <t>USD m</t>
        </is>
      </c>
      <c r="G82" t="inlineStr">
        <is>
          <t>10-Q - Q2 2026 (quarter ended 2026-06-30)</t>
        </is>
      </c>
      <c r="H82" t="inlineStr">
        <is>
          <t>0001628280-26-049270</t>
        </is>
      </c>
      <c r="I82" t="inlineStr">
        <is>
          <t>Part I Item 1, Consolidated Statements of Operations (six months), p.5</t>
        </is>
      </c>
      <c r="J82" t="inlineStr">
        <is>
          <t>Quarterly report (10-Q)</t>
        </is>
      </c>
      <c r="K82" t="inlineStr">
        <is>
          <t>not XBRL-tagged (read from filing text)</t>
        </is>
      </c>
      <c r="L82" t="inlineStr">
        <is>
          <t>FX remeasurement, digital-asset and SpaceX fair-value gains/losses; excluded from forward forecast.</t>
        </is>
      </c>
      <c r="M82" t="inlineStr">
        <is>
          <t>https://www.sec.gov/Archives/edgar/data/1318605/000162828026049270/tsla-20260630.htm</t>
        </is>
      </c>
    </row>
    <row r="83">
      <c r="A83" t="inlineStr">
        <is>
          <t>pretax</t>
        </is>
      </c>
      <c r="B83" t="inlineStr">
        <is>
          <t>Income before income taxes</t>
        </is>
      </c>
      <c r="C83" t="inlineStr">
        <is>
          <t>Income statement</t>
        </is>
      </c>
      <c r="D83" t="inlineStr">
        <is>
          <t>FY2023</t>
        </is>
      </c>
      <c r="E83" s="4" t="n">
        <v>9973</v>
      </c>
      <c r="F83" t="inlineStr">
        <is>
          <t>USD m</t>
        </is>
      </c>
      <c r="G83" t="inlineStr">
        <is>
          <t>10-K - FY2025 (year ended 2025-12-31)</t>
        </is>
      </c>
      <c r="H83" t="inlineStr">
        <is>
          <t>0001628280-26-003952</t>
        </is>
      </c>
      <c r="I83" t="inlineStr">
        <is>
          <t>Part II Item 8, Consolidated Statements of Operations, p.50</t>
        </is>
      </c>
      <c r="J83" t="inlineStr">
        <is>
          <t>Annual report (10-K)</t>
        </is>
      </c>
      <c r="K83" t="inlineStr">
        <is>
          <t>not XBRL-tagged (read from filing text)</t>
        </is>
      </c>
      <c r="L83" t="inlineStr"/>
      <c r="M83" t="inlineStr">
        <is>
          <t>https://www.sec.gov/Archives/edgar/data/1318605/000162828026003952/tsla-20251231.htm</t>
        </is>
      </c>
    </row>
    <row r="84">
      <c r="A84" t="inlineStr">
        <is>
          <t>pretax</t>
        </is>
      </c>
      <c r="B84" t="inlineStr">
        <is>
          <t>Income before income taxes</t>
        </is>
      </c>
      <c r="C84" t="inlineStr">
        <is>
          <t>Income statement</t>
        </is>
      </c>
      <c r="D84" t="inlineStr">
        <is>
          <t>FY2024</t>
        </is>
      </c>
      <c r="E84" s="4" t="n">
        <v>8990</v>
      </c>
      <c r="F84" t="inlineStr">
        <is>
          <t>USD m</t>
        </is>
      </c>
      <c r="G84" t="inlineStr">
        <is>
          <t>10-K - FY2025 (year ended 2025-12-31)</t>
        </is>
      </c>
      <c r="H84" t="inlineStr">
        <is>
          <t>0001628280-26-003952</t>
        </is>
      </c>
      <c r="I84" t="inlineStr">
        <is>
          <t>Part II Item 8, Consolidated Statements of Operations, p.50</t>
        </is>
      </c>
      <c r="J84" t="inlineStr">
        <is>
          <t>Annual report (10-K)</t>
        </is>
      </c>
      <c r="K84" t="inlineStr">
        <is>
          <t>not XBRL-tagged (read from filing text)</t>
        </is>
      </c>
      <c r="L84" t="inlineStr"/>
      <c r="M84" t="inlineStr">
        <is>
          <t>https://www.sec.gov/Archives/edgar/data/1318605/000162828026003952/tsla-20251231.htm</t>
        </is>
      </c>
    </row>
    <row r="85">
      <c r="A85" t="inlineStr">
        <is>
          <t>pretax</t>
        </is>
      </c>
      <c r="B85" t="inlineStr">
        <is>
          <t>Income before income taxes</t>
        </is>
      </c>
      <c r="C85" t="inlineStr">
        <is>
          <t>Income statement</t>
        </is>
      </c>
      <c r="D85" t="inlineStr">
        <is>
          <t>FY2025</t>
        </is>
      </c>
      <c r="E85" s="4" t="n">
        <v>5278</v>
      </c>
      <c r="F85" t="inlineStr">
        <is>
          <t>USD m</t>
        </is>
      </c>
      <c r="G85" t="inlineStr">
        <is>
          <t>10-K - FY2025 (year ended 2025-12-31)</t>
        </is>
      </c>
      <c r="H85" t="inlineStr">
        <is>
          <t>0001628280-26-003952</t>
        </is>
      </c>
      <c r="I85" t="inlineStr">
        <is>
          <t>Part II Item 8, Consolidated Statements of Operations, p.50</t>
        </is>
      </c>
      <c r="J85" t="inlineStr">
        <is>
          <t>Annual report (10-K)</t>
        </is>
      </c>
      <c r="K85" t="inlineStr">
        <is>
          <t>not XBRL-tagged (read from filing text)</t>
        </is>
      </c>
      <c r="L85" t="inlineStr"/>
      <c r="M85" t="inlineStr">
        <is>
          <t>https://www.sec.gov/Archives/edgar/data/1318605/000162828026003952/tsla-20251231.htm</t>
        </is>
      </c>
    </row>
    <row r="86">
      <c r="A86" t="inlineStr">
        <is>
          <t>pretax</t>
        </is>
      </c>
      <c r="B86" t="inlineStr">
        <is>
          <t>Income before income taxes</t>
        </is>
      </c>
      <c r="C86" t="inlineStr">
        <is>
          <t>Income statement</t>
        </is>
      </c>
      <c r="D86" t="inlineStr">
        <is>
          <t>H1_2026</t>
        </is>
      </c>
      <c r="E86" s="4" t="n">
        <v>2077</v>
      </c>
      <c r="F86" t="inlineStr">
        <is>
          <t>USD m</t>
        </is>
      </c>
      <c r="G86" t="inlineStr">
        <is>
          <t>10-Q - Q2 2026 (quarter ended 2026-06-30)</t>
        </is>
      </c>
      <c r="H86" t="inlineStr">
        <is>
          <t>0001628280-26-049270</t>
        </is>
      </c>
      <c r="I86" t="inlineStr">
        <is>
          <t>Part I Item 1, Consolidated Statements of Operations (six months), p.5</t>
        </is>
      </c>
      <c r="J86" t="inlineStr">
        <is>
          <t>Quarterly report (10-Q)</t>
        </is>
      </c>
      <c r="K86" t="inlineStr">
        <is>
          <t>not XBRL-tagged (read from filing text)</t>
        </is>
      </c>
      <c r="L86" t="inlineStr"/>
      <c r="M86" t="inlineStr">
        <is>
          <t>https://www.sec.gov/Archives/edgar/data/1318605/000162828026049270/tsla-20260630.htm</t>
        </is>
      </c>
    </row>
    <row r="87">
      <c r="A87" t="inlineStr">
        <is>
          <t>tax</t>
        </is>
      </c>
      <c r="B87" t="inlineStr">
        <is>
          <t>Provision for (benefit from) income taxes</t>
        </is>
      </c>
      <c r="C87" t="inlineStr">
        <is>
          <t>Income statement</t>
        </is>
      </c>
      <c r="D87" t="inlineStr">
        <is>
          <t>FY2023</t>
        </is>
      </c>
      <c r="E87" s="4" t="n">
        <v>-5001</v>
      </c>
      <c r="F87" t="inlineStr">
        <is>
          <t>USD m</t>
        </is>
      </c>
      <c r="G87" t="inlineStr">
        <is>
          <t>10-K - FY2025 (year ended 2025-12-31)</t>
        </is>
      </c>
      <c r="H87" t="inlineStr">
        <is>
          <t>0001628280-26-003952</t>
        </is>
      </c>
      <c r="I87" t="inlineStr">
        <is>
          <t>Part II Item 8, Consolidated Statements of Operations, p.50</t>
        </is>
      </c>
      <c r="J87" t="inlineStr">
        <is>
          <t>Annual report (10-K)</t>
        </is>
      </c>
      <c r="K87" t="inlineStr">
        <is>
          <t>not XBRL-tagged (read from filing text)</t>
        </is>
      </c>
      <c r="L87" t="inlineStr">
        <is>
          <t>FY2023 includes a one-time ~$5.9B valuation-allowance release; Q2 2026 includes a $274M California valuation-allowance release (10-Q p.23).</t>
        </is>
      </c>
      <c r="M87" t="inlineStr">
        <is>
          <t>https://www.sec.gov/Archives/edgar/data/1318605/000162828026003952/tsla-20251231.htm</t>
        </is>
      </c>
    </row>
    <row r="88">
      <c r="A88" t="inlineStr">
        <is>
          <t>tax</t>
        </is>
      </c>
      <c r="B88" t="inlineStr">
        <is>
          <t>Provision for (benefit from) income taxes</t>
        </is>
      </c>
      <c r="C88" t="inlineStr">
        <is>
          <t>Income statement</t>
        </is>
      </c>
      <c r="D88" t="inlineStr">
        <is>
          <t>FY2024</t>
        </is>
      </c>
      <c r="E88" s="4" t="n">
        <v>1837</v>
      </c>
      <c r="F88" t="inlineStr">
        <is>
          <t>USD m</t>
        </is>
      </c>
      <c r="G88" t="inlineStr">
        <is>
          <t>10-K - FY2025 (year ended 2025-12-31)</t>
        </is>
      </c>
      <c r="H88" t="inlineStr">
        <is>
          <t>0001628280-26-003952</t>
        </is>
      </c>
      <c r="I88" t="inlineStr">
        <is>
          <t>Part II Item 8, Consolidated Statements of Operations, p.50</t>
        </is>
      </c>
      <c r="J88" t="inlineStr">
        <is>
          <t>Annual report (10-K)</t>
        </is>
      </c>
      <c r="K88" t="inlineStr">
        <is>
          <t>not XBRL-tagged (read from filing text)</t>
        </is>
      </c>
      <c r="L88" t="inlineStr">
        <is>
          <t>FY2023 includes a one-time ~$5.9B valuation-allowance release; Q2 2026 includes a $274M California valuation-allowance release (10-Q p.23).</t>
        </is>
      </c>
      <c r="M88" t="inlineStr">
        <is>
          <t>https://www.sec.gov/Archives/edgar/data/1318605/000162828026003952/tsla-20251231.htm</t>
        </is>
      </c>
    </row>
    <row r="89">
      <c r="A89" t="inlineStr">
        <is>
          <t>tax</t>
        </is>
      </c>
      <c r="B89" t="inlineStr">
        <is>
          <t>Provision for (benefit from) income taxes</t>
        </is>
      </c>
      <c r="C89" t="inlineStr">
        <is>
          <t>Income statement</t>
        </is>
      </c>
      <c r="D89" t="inlineStr">
        <is>
          <t>FY2025</t>
        </is>
      </c>
      <c r="E89" s="4" t="n">
        <v>1423</v>
      </c>
      <c r="F89" t="inlineStr">
        <is>
          <t>USD m</t>
        </is>
      </c>
      <c r="G89" t="inlineStr">
        <is>
          <t>10-K - FY2025 (year ended 2025-12-31)</t>
        </is>
      </c>
      <c r="H89" t="inlineStr">
        <is>
          <t>0001628280-26-003952</t>
        </is>
      </c>
      <c r="I89" t="inlineStr">
        <is>
          <t>Part II Item 8, Consolidated Statements of Operations, p.50</t>
        </is>
      </c>
      <c r="J89" t="inlineStr">
        <is>
          <t>Annual report (10-K)</t>
        </is>
      </c>
      <c r="K89" t="inlineStr">
        <is>
          <t>not XBRL-tagged (read from filing text)</t>
        </is>
      </c>
      <c r="L89" t="inlineStr">
        <is>
          <t>FY2023 includes a one-time ~$5.9B valuation-allowance release; Q2 2026 includes a $274M California valuation-allowance release (10-Q p.23).</t>
        </is>
      </c>
      <c r="M89" t="inlineStr">
        <is>
          <t>https://www.sec.gov/Archives/edgar/data/1318605/000162828026003952/tsla-20251231.htm</t>
        </is>
      </c>
    </row>
    <row r="90">
      <c r="A90" t="inlineStr">
        <is>
          <t>tax</t>
        </is>
      </c>
      <c r="B90" t="inlineStr">
        <is>
          <t>Provision for (benefit from) income taxes</t>
        </is>
      </c>
      <c r="C90" t="inlineStr">
        <is>
          <t>Income statement</t>
        </is>
      </c>
      <c r="D90" t="inlineStr">
        <is>
          <t>H1_2026</t>
        </is>
      </c>
      <c r="E90" s="4" t="n">
        <v>458</v>
      </c>
      <c r="F90" t="inlineStr">
        <is>
          <t>USD m</t>
        </is>
      </c>
      <c r="G90" t="inlineStr">
        <is>
          <t>10-Q - Q2 2026 (quarter ended 2026-06-30)</t>
        </is>
      </c>
      <c r="H90" t="inlineStr">
        <is>
          <t>0001628280-26-049270</t>
        </is>
      </c>
      <c r="I90" t="inlineStr">
        <is>
          <t>Part I Item 1, Consolidated Statements of Operations (six months), p.5</t>
        </is>
      </c>
      <c r="J90" t="inlineStr">
        <is>
          <t>Quarterly report (10-Q)</t>
        </is>
      </c>
      <c r="K90" t="inlineStr">
        <is>
          <t>not XBRL-tagged (read from filing text)</t>
        </is>
      </c>
      <c r="L90" t="inlineStr">
        <is>
          <t>FY2023 includes a one-time ~$5.9B valuation-allowance release; Q2 2026 includes a $274M California valuation-allowance release (10-Q p.23).</t>
        </is>
      </c>
      <c r="M90" t="inlineStr">
        <is>
          <t>https://www.sec.gov/Archives/edgar/data/1318605/000162828026049270/tsla-20260630.htm</t>
        </is>
      </c>
    </row>
    <row r="91">
      <c r="A91" t="inlineStr">
        <is>
          <t>net_income_total</t>
        </is>
      </c>
      <c r="B91" t="inlineStr">
        <is>
          <t>Net income (incl. NCI)</t>
        </is>
      </c>
      <c r="C91" t="inlineStr">
        <is>
          <t>Income statement</t>
        </is>
      </c>
      <c r="D91" t="inlineStr">
        <is>
          <t>FY2023</t>
        </is>
      </c>
      <c r="E91" s="4" t="n">
        <v>14974</v>
      </c>
      <c r="F91" t="inlineStr">
        <is>
          <t>USD m</t>
        </is>
      </c>
      <c r="G91" t="inlineStr">
        <is>
          <t>10-K - FY2025 (year ended 2025-12-31)</t>
        </is>
      </c>
      <c r="H91" t="inlineStr">
        <is>
          <t>0001628280-26-003952</t>
        </is>
      </c>
      <c r="I91" t="inlineStr">
        <is>
          <t>Part II Item 8, Consolidated Statements of Operations, p.50</t>
        </is>
      </c>
      <c r="J91" t="inlineStr">
        <is>
          <t>Annual report (10-K)</t>
        </is>
      </c>
      <c r="K91" t="inlineStr">
        <is>
          <t>not XBRL-tagged (read from filing text)</t>
        </is>
      </c>
      <c r="L91" t="inlineStr"/>
      <c r="M91" t="inlineStr">
        <is>
          <t>https://www.sec.gov/Archives/edgar/data/1318605/000162828026003952/tsla-20251231.htm</t>
        </is>
      </c>
    </row>
    <row r="92">
      <c r="A92" t="inlineStr">
        <is>
          <t>net_income_total</t>
        </is>
      </c>
      <c r="B92" t="inlineStr">
        <is>
          <t>Net income (incl. NCI)</t>
        </is>
      </c>
      <c r="C92" t="inlineStr">
        <is>
          <t>Income statement</t>
        </is>
      </c>
      <c r="D92" t="inlineStr">
        <is>
          <t>FY2024</t>
        </is>
      </c>
      <c r="E92" s="4" t="n">
        <v>7153</v>
      </c>
      <c r="F92" t="inlineStr">
        <is>
          <t>USD m</t>
        </is>
      </c>
      <c r="G92" t="inlineStr">
        <is>
          <t>10-K - FY2025 (year ended 2025-12-31)</t>
        </is>
      </c>
      <c r="H92" t="inlineStr">
        <is>
          <t>0001628280-26-003952</t>
        </is>
      </c>
      <c r="I92" t="inlineStr">
        <is>
          <t>Part II Item 8, Consolidated Statements of Operations, p.50</t>
        </is>
      </c>
      <c r="J92" t="inlineStr">
        <is>
          <t>Annual report (10-K)</t>
        </is>
      </c>
      <c r="K92" t="inlineStr">
        <is>
          <t>not XBRL-tagged (read from filing text)</t>
        </is>
      </c>
      <c r="L92" t="inlineStr"/>
      <c r="M92" t="inlineStr">
        <is>
          <t>https://www.sec.gov/Archives/edgar/data/1318605/000162828026003952/tsla-20251231.htm</t>
        </is>
      </c>
    </row>
    <row r="93">
      <c r="A93" t="inlineStr">
        <is>
          <t>net_income_total</t>
        </is>
      </c>
      <c r="B93" t="inlineStr">
        <is>
          <t>Net income (incl. NCI)</t>
        </is>
      </c>
      <c r="C93" t="inlineStr">
        <is>
          <t>Income statement</t>
        </is>
      </c>
      <c r="D93" t="inlineStr">
        <is>
          <t>FY2025</t>
        </is>
      </c>
      <c r="E93" s="4" t="n">
        <v>3855</v>
      </c>
      <c r="F93" t="inlineStr">
        <is>
          <t>USD m</t>
        </is>
      </c>
      <c r="G93" t="inlineStr">
        <is>
          <t>10-K - FY2025 (year ended 2025-12-31)</t>
        </is>
      </c>
      <c r="H93" t="inlineStr">
        <is>
          <t>0001628280-26-003952</t>
        </is>
      </c>
      <c r="I93" t="inlineStr">
        <is>
          <t>Part II Item 8, Consolidated Statements of Operations, p.50</t>
        </is>
      </c>
      <c r="J93" t="inlineStr">
        <is>
          <t>Annual report (10-K)</t>
        </is>
      </c>
      <c r="K93" t="inlineStr">
        <is>
          <t>not XBRL-tagged (read from filing text)</t>
        </is>
      </c>
      <c r="L93" t="inlineStr"/>
      <c r="M93" t="inlineStr">
        <is>
          <t>https://www.sec.gov/Archives/edgar/data/1318605/000162828026003952/tsla-20251231.htm</t>
        </is>
      </c>
    </row>
    <row r="94">
      <c r="A94" t="inlineStr">
        <is>
          <t>net_income_total</t>
        </is>
      </c>
      <c r="B94" t="inlineStr">
        <is>
          <t>Net income (incl. NCI)</t>
        </is>
      </c>
      <c r="C94" t="inlineStr">
        <is>
          <t>Income statement</t>
        </is>
      </c>
      <c r="D94" t="inlineStr">
        <is>
          <t>H1_2026</t>
        </is>
      </c>
      <c r="E94" s="4" t="n">
        <v>1619</v>
      </c>
      <c r="F94" t="inlineStr">
        <is>
          <t>USD m</t>
        </is>
      </c>
      <c r="G94" t="inlineStr">
        <is>
          <t>10-Q - Q2 2026 (quarter ended 2026-06-30)</t>
        </is>
      </c>
      <c r="H94" t="inlineStr">
        <is>
          <t>0001628280-26-049270</t>
        </is>
      </c>
      <c r="I94" t="inlineStr">
        <is>
          <t>Part I Item 1, Consolidated Statements of Operations (six months), p.5</t>
        </is>
      </c>
      <c r="J94" t="inlineStr">
        <is>
          <t>Quarterly report (10-Q)</t>
        </is>
      </c>
      <c r="K94" t="inlineStr">
        <is>
          <t>not XBRL-tagged (read from filing text)</t>
        </is>
      </c>
      <c r="L94" t="inlineStr"/>
      <c r="M94" t="inlineStr">
        <is>
          <t>https://www.sec.gov/Archives/edgar/data/1318605/000162828026049270/tsla-20260630.htm</t>
        </is>
      </c>
    </row>
    <row r="95">
      <c r="A95" t="inlineStr">
        <is>
          <t>ni_nci</t>
        </is>
      </c>
      <c r="B95" t="inlineStr">
        <is>
          <t>Net income attributable to NCI</t>
        </is>
      </c>
      <c r="C95" t="inlineStr">
        <is>
          <t>Income statement</t>
        </is>
      </c>
      <c r="D95" t="inlineStr">
        <is>
          <t>FY2023</t>
        </is>
      </c>
      <c r="E95" s="4" t="n">
        <v>-23</v>
      </c>
      <c r="F95" t="inlineStr">
        <is>
          <t>USD m</t>
        </is>
      </c>
      <c r="G95" t="inlineStr">
        <is>
          <t>10-K - FY2025 (year ended 2025-12-31)</t>
        </is>
      </c>
      <c r="H95" t="inlineStr">
        <is>
          <t>0001628280-26-003952</t>
        </is>
      </c>
      <c r="I95" t="inlineStr">
        <is>
          <t>Part II Item 8, Consolidated Statements of Operations, p.50</t>
        </is>
      </c>
      <c r="J95" t="inlineStr">
        <is>
          <t>Annual report (10-K)</t>
        </is>
      </c>
      <c r="K95" t="inlineStr">
        <is>
          <t>not XBRL-tagged (read from filing text)</t>
        </is>
      </c>
      <c r="L95" t="inlineStr"/>
      <c r="M95" t="inlineStr">
        <is>
          <t>https://www.sec.gov/Archives/edgar/data/1318605/000162828026003952/tsla-20251231.htm</t>
        </is>
      </c>
    </row>
    <row r="96">
      <c r="A96" t="inlineStr">
        <is>
          <t>ni_nci</t>
        </is>
      </c>
      <c r="B96" t="inlineStr">
        <is>
          <t>Net income attributable to NCI</t>
        </is>
      </c>
      <c r="C96" t="inlineStr">
        <is>
          <t>Income statement</t>
        </is>
      </c>
      <c r="D96" t="inlineStr">
        <is>
          <t>FY2024</t>
        </is>
      </c>
      <c r="E96" s="4" t="n">
        <v>62</v>
      </c>
      <c r="F96" t="inlineStr">
        <is>
          <t>USD m</t>
        </is>
      </c>
      <c r="G96" t="inlineStr">
        <is>
          <t>10-K - FY2025 (year ended 2025-12-31)</t>
        </is>
      </c>
      <c r="H96" t="inlineStr">
        <is>
          <t>0001628280-26-003952</t>
        </is>
      </c>
      <c r="I96" t="inlineStr">
        <is>
          <t>Part II Item 8, Consolidated Statements of Operations, p.50</t>
        </is>
      </c>
      <c r="J96" t="inlineStr">
        <is>
          <t>Annual report (10-K)</t>
        </is>
      </c>
      <c r="K96" t="inlineStr">
        <is>
          <t>not XBRL-tagged (read from filing text)</t>
        </is>
      </c>
      <c r="L96" t="inlineStr"/>
      <c r="M96" t="inlineStr">
        <is>
          <t>https://www.sec.gov/Archives/edgar/data/1318605/000162828026003952/tsla-20251231.htm</t>
        </is>
      </c>
    </row>
    <row r="97">
      <c r="A97" t="inlineStr">
        <is>
          <t>ni_nci</t>
        </is>
      </c>
      <c r="B97" t="inlineStr">
        <is>
          <t>Net income attributable to NCI</t>
        </is>
      </c>
      <c r="C97" t="inlineStr">
        <is>
          <t>Income statement</t>
        </is>
      </c>
      <c r="D97" t="inlineStr">
        <is>
          <t>FY2025</t>
        </is>
      </c>
      <c r="E97" s="4" t="n">
        <v>61</v>
      </c>
      <c r="F97" t="inlineStr">
        <is>
          <t>USD m</t>
        </is>
      </c>
      <c r="G97" t="inlineStr">
        <is>
          <t>10-K - FY2025 (year ended 2025-12-31)</t>
        </is>
      </c>
      <c r="H97" t="inlineStr">
        <is>
          <t>0001628280-26-003952</t>
        </is>
      </c>
      <c r="I97" t="inlineStr">
        <is>
          <t>Part II Item 8, Consolidated Statements of Operations, p.50</t>
        </is>
      </c>
      <c r="J97" t="inlineStr">
        <is>
          <t>Annual report (10-K)</t>
        </is>
      </c>
      <c r="K97" t="inlineStr">
        <is>
          <t>not XBRL-tagged (read from filing text)</t>
        </is>
      </c>
      <c r="L97" t="inlineStr"/>
      <c r="M97" t="inlineStr">
        <is>
          <t>https://www.sec.gov/Archives/edgar/data/1318605/000162828026003952/tsla-20251231.htm</t>
        </is>
      </c>
    </row>
    <row r="98">
      <c r="A98" t="inlineStr">
        <is>
          <t>ni_nci</t>
        </is>
      </c>
      <c r="B98" t="inlineStr">
        <is>
          <t>Net income attributable to NCI</t>
        </is>
      </c>
      <c r="C98" t="inlineStr">
        <is>
          <t>Income statement</t>
        </is>
      </c>
      <c r="D98" t="inlineStr">
        <is>
          <t>H1_2026</t>
        </is>
      </c>
      <c r="E98" s="4" t="n">
        <v>28</v>
      </c>
      <c r="F98" t="inlineStr">
        <is>
          <t>USD m</t>
        </is>
      </c>
      <c r="G98" t="inlineStr">
        <is>
          <t>10-Q - Q2 2026 (quarter ended 2026-06-30)</t>
        </is>
      </c>
      <c r="H98" t="inlineStr">
        <is>
          <t>0001628280-26-049270</t>
        </is>
      </c>
      <c r="I98" t="inlineStr">
        <is>
          <t>Part I Item 1, Consolidated Statements of Operations (six months), p.5</t>
        </is>
      </c>
      <c r="J98" t="inlineStr">
        <is>
          <t>Quarterly report (10-Q)</t>
        </is>
      </c>
      <c r="K98" t="inlineStr">
        <is>
          <t>not XBRL-tagged (read from filing text)</t>
        </is>
      </c>
      <c r="L98" t="inlineStr"/>
      <c r="M98" t="inlineStr">
        <is>
          <t>https://www.sec.gov/Archives/edgar/data/1318605/000162828026049270/tsla-20260630.htm</t>
        </is>
      </c>
    </row>
    <row r="99">
      <c r="A99" t="inlineStr">
        <is>
          <t>ni_parent</t>
        </is>
      </c>
      <c r="B99" t="inlineStr">
        <is>
          <t>Net income attributable to common stockholders</t>
        </is>
      </c>
      <c r="C99" t="inlineStr">
        <is>
          <t>Income statement</t>
        </is>
      </c>
      <c r="D99" t="inlineStr">
        <is>
          <t>FY2023</t>
        </is>
      </c>
      <c r="E99" s="4" t="n">
        <v>14997</v>
      </c>
      <c r="F99" t="inlineStr">
        <is>
          <t>USD m</t>
        </is>
      </c>
      <c r="G99" t="inlineStr">
        <is>
          <t>10-K - FY2025 (year ended 2025-12-31)</t>
        </is>
      </c>
      <c r="H99" t="inlineStr">
        <is>
          <t>0001628280-26-003952</t>
        </is>
      </c>
      <c r="I99" t="inlineStr">
        <is>
          <t>Part II Item 8, Consolidated Statements of Operations, p.50</t>
        </is>
      </c>
      <c r="J99" t="inlineStr">
        <is>
          <t>Annual report (10-K)</t>
        </is>
      </c>
      <c r="K99" t="inlineStr">
        <is>
          <t>not XBRL-tagged (read from filing text)</t>
        </is>
      </c>
      <c r="L99" t="inlineStr"/>
      <c r="M99" t="inlineStr">
        <is>
          <t>https://www.sec.gov/Archives/edgar/data/1318605/000162828026003952/tsla-20251231.htm</t>
        </is>
      </c>
    </row>
    <row r="100">
      <c r="A100" t="inlineStr">
        <is>
          <t>ni_parent</t>
        </is>
      </c>
      <c r="B100" t="inlineStr">
        <is>
          <t>Net income attributable to common stockholders</t>
        </is>
      </c>
      <c r="C100" t="inlineStr">
        <is>
          <t>Income statement</t>
        </is>
      </c>
      <c r="D100" t="inlineStr">
        <is>
          <t>FY2024</t>
        </is>
      </c>
      <c r="E100" s="4" t="n">
        <v>7091</v>
      </c>
      <c r="F100" t="inlineStr">
        <is>
          <t>USD m</t>
        </is>
      </c>
      <c r="G100" t="inlineStr">
        <is>
          <t>10-K - FY2025 (year ended 2025-12-31)</t>
        </is>
      </c>
      <c r="H100" t="inlineStr">
        <is>
          <t>0001628280-26-003952</t>
        </is>
      </c>
      <c r="I100" t="inlineStr">
        <is>
          <t>Part II Item 8, Consolidated Statements of Operations, p.50</t>
        </is>
      </c>
      <c r="J100" t="inlineStr">
        <is>
          <t>Annual report (10-K)</t>
        </is>
      </c>
      <c r="K100" t="inlineStr">
        <is>
          <t>not XBRL-tagged (read from filing text)</t>
        </is>
      </c>
      <c r="L100" t="inlineStr"/>
      <c r="M100" t="inlineStr">
        <is>
          <t>https://www.sec.gov/Archives/edgar/data/1318605/000162828026003952/tsla-20251231.htm</t>
        </is>
      </c>
    </row>
    <row r="101">
      <c r="A101" t="inlineStr">
        <is>
          <t>ni_parent</t>
        </is>
      </c>
      <c r="B101" t="inlineStr">
        <is>
          <t>Net income attributable to common stockholders</t>
        </is>
      </c>
      <c r="C101" t="inlineStr">
        <is>
          <t>Income statement</t>
        </is>
      </c>
      <c r="D101" t="inlineStr">
        <is>
          <t>FY2025</t>
        </is>
      </c>
      <c r="E101" s="4" t="n">
        <v>3794</v>
      </c>
      <c r="F101" t="inlineStr">
        <is>
          <t>USD m</t>
        </is>
      </c>
      <c r="G101" t="inlineStr">
        <is>
          <t>10-K - FY2025 (year ended 2025-12-31)</t>
        </is>
      </c>
      <c r="H101" t="inlineStr">
        <is>
          <t>0001628280-26-003952</t>
        </is>
      </c>
      <c r="I101" t="inlineStr">
        <is>
          <t>Part II Item 8, Consolidated Statements of Operations, p.50</t>
        </is>
      </c>
      <c r="J101" t="inlineStr">
        <is>
          <t>Annual report (10-K)</t>
        </is>
      </c>
      <c r="K101" t="inlineStr">
        <is>
          <t>not XBRL-tagged (read from filing text)</t>
        </is>
      </c>
      <c r="L101" t="inlineStr"/>
      <c r="M101" t="inlineStr">
        <is>
          <t>https://www.sec.gov/Archives/edgar/data/1318605/000162828026003952/tsla-20251231.htm</t>
        </is>
      </c>
    </row>
    <row r="102">
      <c r="A102" t="inlineStr">
        <is>
          <t>ni_parent</t>
        </is>
      </c>
      <c r="B102" t="inlineStr">
        <is>
          <t>Net income attributable to common stockholders</t>
        </is>
      </c>
      <c r="C102" t="inlineStr">
        <is>
          <t>Income statement</t>
        </is>
      </c>
      <c r="D102" t="inlineStr">
        <is>
          <t>H1_2026</t>
        </is>
      </c>
      <c r="E102" s="4" t="n">
        <v>1591</v>
      </c>
      <c r="F102" t="inlineStr">
        <is>
          <t>USD m</t>
        </is>
      </c>
      <c r="G102" t="inlineStr">
        <is>
          <t>10-Q - Q2 2026 (quarter ended 2026-06-30)</t>
        </is>
      </c>
      <c r="H102" t="inlineStr">
        <is>
          <t>0001628280-26-049270</t>
        </is>
      </c>
      <c r="I102" t="inlineStr">
        <is>
          <t>Part I Item 1, Consolidated Statements of Operations (six months), p.5</t>
        </is>
      </c>
      <c r="J102" t="inlineStr">
        <is>
          <t>Quarterly report (10-Q)</t>
        </is>
      </c>
      <c r="K102" t="inlineStr">
        <is>
          <t>not XBRL-tagged (read from filing text)</t>
        </is>
      </c>
      <c r="L102" t="inlineStr"/>
      <c r="M102" t="inlineStr">
        <is>
          <t>https://www.sec.gov/Archives/edgar/data/1318605/000162828026049270/tsla-20260630.htm</t>
        </is>
      </c>
    </row>
    <row r="103">
      <c r="A103" t="inlineStr">
        <is>
          <t>shares_basic</t>
        </is>
      </c>
      <c r="B103" t="inlineStr">
        <is>
          <t>Weighted avg. basic shares (M)</t>
        </is>
      </c>
      <c r="C103" t="inlineStr">
        <is>
          <t>Income statement</t>
        </is>
      </c>
      <c r="D103" t="inlineStr">
        <is>
          <t>FY2023</t>
        </is>
      </c>
      <c r="E103" s="4" t="n">
        <v>3174</v>
      </c>
      <c r="F103" t="inlineStr">
        <is>
          <t>shares_m</t>
        </is>
      </c>
      <c r="G103" t="inlineStr">
        <is>
          <t>10-K - FY2025 (year ended 2025-12-31)</t>
        </is>
      </c>
      <c r="H103" t="inlineStr">
        <is>
          <t>0001628280-26-003952</t>
        </is>
      </c>
      <c r="I103" t="inlineStr">
        <is>
          <t>Part II Item 8, Consolidated Statements of Operations, p.50</t>
        </is>
      </c>
      <c r="J103" t="inlineStr">
        <is>
          <t>Annual report (10-K)</t>
        </is>
      </c>
      <c r="K103" t="inlineStr">
        <is>
          <t>not XBRL-tagged (read from filing text)</t>
        </is>
      </c>
      <c r="L103" t="inlineStr"/>
      <c r="M103" t="inlineStr">
        <is>
          <t>https://www.sec.gov/Archives/edgar/data/1318605/000162828026003952/tsla-20251231.htm</t>
        </is>
      </c>
    </row>
    <row r="104">
      <c r="A104" t="inlineStr">
        <is>
          <t>shares_basic</t>
        </is>
      </c>
      <c r="B104" t="inlineStr">
        <is>
          <t>Weighted avg. basic shares (M)</t>
        </is>
      </c>
      <c r="C104" t="inlineStr">
        <is>
          <t>Income statement</t>
        </is>
      </c>
      <c r="D104" t="inlineStr">
        <is>
          <t>FY2024</t>
        </is>
      </c>
      <c r="E104" s="4" t="n">
        <v>3197</v>
      </c>
      <c r="F104" t="inlineStr">
        <is>
          <t>shares_m</t>
        </is>
      </c>
      <c r="G104" t="inlineStr">
        <is>
          <t>10-K - FY2025 (year ended 2025-12-31)</t>
        </is>
      </c>
      <c r="H104" t="inlineStr">
        <is>
          <t>0001628280-26-003952</t>
        </is>
      </c>
      <c r="I104" t="inlineStr">
        <is>
          <t>Part II Item 8, Consolidated Statements of Operations, p.50</t>
        </is>
      </c>
      <c r="J104" t="inlineStr">
        <is>
          <t>Annual report (10-K)</t>
        </is>
      </c>
      <c r="K104" t="inlineStr">
        <is>
          <t>not XBRL-tagged (read from filing text)</t>
        </is>
      </c>
      <c r="L104" t="inlineStr"/>
      <c r="M104" t="inlineStr">
        <is>
          <t>https://www.sec.gov/Archives/edgar/data/1318605/000162828026003952/tsla-20251231.htm</t>
        </is>
      </c>
    </row>
    <row r="105">
      <c r="A105" t="inlineStr">
        <is>
          <t>shares_basic</t>
        </is>
      </c>
      <c r="B105" t="inlineStr">
        <is>
          <t>Weighted avg. basic shares (M)</t>
        </is>
      </c>
      <c r="C105" t="inlineStr">
        <is>
          <t>Income statement</t>
        </is>
      </c>
      <c r="D105" t="inlineStr">
        <is>
          <t>FY2025</t>
        </is>
      </c>
      <c r="E105" s="4" t="n">
        <v>3225</v>
      </c>
      <c r="F105" t="inlineStr">
        <is>
          <t>shares_m</t>
        </is>
      </c>
      <c r="G105" t="inlineStr">
        <is>
          <t>10-K - FY2025 (year ended 2025-12-31)</t>
        </is>
      </c>
      <c r="H105" t="inlineStr">
        <is>
          <t>0001628280-26-003952</t>
        </is>
      </c>
      <c r="I105" t="inlineStr">
        <is>
          <t>Part II Item 8, Consolidated Statements of Operations, p.50</t>
        </is>
      </c>
      <c r="J105" t="inlineStr">
        <is>
          <t>Annual report (10-K)</t>
        </is>
      </c>
      <c r="K105" t="inlineStr">
        <is>
          <t>not XBRL-tagged (read from filing text)</t>
        </is>
      </c>
      <c r="L105" t="inlineStr"/>
      <c r="M105" t="inlineStr">
        <is>
          <t>https://www.sec.gov/Archives/edgar/data/1318605/000162828026003952/tsla-20251231.htm</t>
        </is>
      </c>
    </row>
    <row r="106">
      <c r="A106" t="inlineStr">
        <is>
          <t>shares_basic</t>
        </is>
      </c>
      <c r="B106" t="inlineStr">
        <is>
          <t>Weighted avg. basic shares (M)</t>
        </is>
      </c>
      <c r="C106" t="inlineStr">
        <is>
          <t>Income statement</t>
        </is>
      </c>
      <c r="D106" t="inlineStr">
        <is>
          <t>H1_2026</t>
        </is>
      </c>
      <c r="E106" s="4" t="n">
        <v>3235</v>
      </c>
      <c r="F106" t="inlineStr">
        <is>
          <t>shares_m</t>
        </is>
      </c>
      <c r="G106" t="inlineStr">
        <is>
          <t>10-Q - Q2 2026 (quarter ended 2026-06-30)</t>
        </is>
      </c>
      <c r="H106" t="inlineStr">
        <is>
          <t>0001628280-26-049270</t>
        </is>
      </c>
      <c r="I106" t="inlineStr">
        <is>
          <t>Part I Item 1, Consolidated Statements of Operations (six months), p.5</t>
        </is>
      </c>
      <c r="J106" t="inlineStr">
        <is>
          <t>Quarterly report (10-Q)</t>
        </is>
      </c>
      <c r="K106" t="inlineStr">
        <is>
          <t>not XBRL-tagged (read from filing text)</t>
        </is>
      </c>
      <c r="L106" t="inlineStr"/>
      <c r="M106" t="inlineStr">
        <is>
          <t>https://www.sec.gov/Archives/edgar/data/1318605/000162828026049270/tsla-20260630.htm</t>
        </is>
      </c>
    </row>
    <row r="107">
      <c r="A107" t="inlineStr">
        <is>
          <t>shares_diluted</t>
        </is>
      </c>
      <c r="B107" t="inlineStr">
        <is>
          <t>Weighted avg. diluted shares (M)</t>
        </is>
      </c>
      <c r="C107" t="inlineStr">
        <is>
          <t>Income statement</t>
        </is>
      </c>
      <c r="D107" t="inlineStr">
        <is>
          <t>FY2023</t>
        </is>
      </c>
      <c r="E107" s="4" t="n">
        <v>3485</v>
      </c>
      <c r="F107" t="inlineStr">
        <is>
          <t>shares_m</t>
        </is>
      </c>
      <c r="G107" t="inlineStr">
        <is>
          <t>10-K - FY2025 (year ended 2025-12-31)</t>
        </is>
      </c>
      <c r="H107" t="inlineStr">
        <is>
          <t>0001628280-26-003952</t>
        </is>
      </c>
      <c r="I107" t="inlineStr">
        <is>
          <t>Part II Item 8, Consolidated Statements of Operations, p.50</t>
        </is>
      </c>
      <c r="J107" t="inlineStr">
        <is>
          <t>Annual report (10-K)</t>
        </is>
      </c>
      <c r="K107" t="inlineStr">
        <is>
          <t>not XBRL-tagged (read from filing text)</t>
        </is>
      </c>
      <c r="L107" t="inlineStr"/>
      <c r="M107" t="inlineStr">
        <is>
          <t>https://www.sec.gov/Archives/edgar/data/1318605/000162828026003952/tsla-20251231.htm</t>
        </is>
      </c>
    </row>
    <row r="108">
      <c r="A108" t="inlineStr">
        <is>
          <t>shares_diluted</t>
        </is>
      </c>
      <c r="B108" t="inlineStr">
        <is>
          <t>Weighted avg. diluted shares (M)</t>
        </is>
      </c>
      <c r="C108" t="inlineStr">
        <is>
          <t>Income statement</t>
        </is>
      </c>
      <c r="D108" t="inlineStr">
        <is>
          <t>FY2024</t>
        </is>
      </c>
      <c r="E108" s="4" t="n">
        <v>3498</v>
      </c>
      <c r="F108" t="inlineStr">
        <is>
          <t>shares_m</t>
        </is>
      </c>
      <c r="G108" t="inlineStr">
        <is>
          <t>10-K - FY2025 (year ended 2025-12-31)</t>
        </is>
      </c>
      <c r="H108" t="inlineStr">
        <is>
          <t>0001628280-26-003952</t>
        </is>
      </c>
      <c r="I108" t="inlineStr">
        <is>
          <t>Part II Item 8, Consolidated Statements of Operations, p.50</t>
        </is>
      </c>
      <c r="J108" t="inlineStr">
        <is>
          <t>Annual report (10-K)</t>
        </is>
      </c>
      <c r="K108" t="inlineStr">
        <is>
          <t>not XBRL-tagged (read from filing text)</t>
        </is>
      </c>
      <c r="L108" t="inlineStr"/>
      <c r="M108" t="inlineStr">
        <is>
          <t>https://www.sec.gov/Archives/edgar/data/1318605/000162828026003952/tsla-20251231.htm</t>
        </is>
      </c>
    </row>
    <row r="109">
      <c r="A109" t="inlineStr">
        <is>
          <t>shares_diluted</t>
        </is>
      </c>
      <c r="B109" t="inlineStr">
        <is>
          <t>Weighted avg. diluted shares (M)</t>
        </is>
      </c>
      <c r="C109" t="inlineStr">
        <is>
          <t>Income statement</t>
        </is>
      </c>
      <c r="D109" t="inlineStr">
        <is>
          <t>FY2025</t>
        </is>
      </c>
      <c r="E109" s="4" t="n">
        <v>3528</v>
      </c>
      <c r="F109" t="inlineStr">
        <is>
          <t>shares_m</t>
        </is>
      </c>
      <c r="G109" t="inlineStr">
        <is>
          <t>10-K - FY2025 (year ended 2025-12-31)</t>
        </is>
      </c>
      <c r="H109" t="inlineStr">
        <is>
          <t>0001628280-26-003952</t>
        </is>
      </c>
      <c r="I109" t="inlineStr">
        <is>
          <t>Part II Item 8, Consolidated Statements of Operations, p.50</t>
        </is>
      </c>
      <c r="J109" t="inlineStr">
        <is>
          <t>Annual report (10-K)</t>
        </is>
      </c>
      <c r="K109" t="inlineStr">
        <is>
          <t>not XBRL-tagged (read from filing text)</t>
        </is>
      </c>
      <c r="L109" t="inlineStr"/>
      <c r="M109" t="inlineStr">
        <is>
          <t>https://www.sec.gov/Archives/edgar/data/1318605/000162828026003952/tsla-20251231.htm</t>
        </is>
      </c>
    </row>
    <row r="110">
      <c r="A110" t="inlineStr">
        <is>
          <t>shares_diluted</t>
        </is>
      </c>
      <c r="B110" t="inlineStr">
        <is>
          <t>Weighted avg. diluted shares (M)</t>
        </is>
      </c>
      <c r="C110" t="inlineStr">
        <is>
          <t>Income statement</t>
        </is>
      </c>
      <c r="D110" t="inlineStr">
        <is>
          <t>H1_2026</t>
        </is>
      </c>
      <c r="E110" s="4" t="n">
        <v>3538</v>
      </c>
      <c r="F110" t="inlineStr">
        <is>
          <t>shares_m</t>
        </is>
      </c>
      <c r="G110" t="inlineStr">
        <is>
          <t>10-Q - Q2 2026 (quarter ended 2026-06-30)</t>
        </is>
      </c>
      <c r="H110" t="inlineStr">
        <is>
          <t>0001628280-26-049270</t>
        </is>
      </c>
      <c r="I110" t="inlineStr">
        <is>
          <t>Part I Item 1, Consolidated Statements of Operations (six months), p.5</t>
        </is>
      </c>
      <c r="J110" t="inlineStr">
        <is>
          <t>Quarterly report (10-Q)</t>
        </is>
      </c>
      <c r="K110" t="inlineStr">
        <is>
          <t>not XBRL-tagged (read from filing text)</t>
        </is>
      </c>
      <c r="L110" t="inlineStr"/>
      <c r="M110" t="inlineStr">
        <is>
          <t>https://www.sec.gov/Archives/edgar/data/1318605/000162828026049270/tsla-20260630.htm</t>
        </is>
      </c>
    </row>
    <row r="111">
      <c r="A111" t="inlineStr">
        <is>
          <t>shares_diluted_q2_2026</t>
        </is>
      </c>
      <c r="B111" t="inlineStr">
        <is>
          <t>Weighted avg. diluted shares, Q2 2026 (M)</t>
        </is>
      </c>
      <c r="C111" t="inlineStr">
        <is>
          <t>Income statement</t>
        </is>
      </c>
      <c r="D111" t="inlineStr">
        <is>
          <t>H1_2026</t>
        </is>
      </c>
      <c r="E111" s="4" t="n">
        <v>3540</v>
      </c>
      <c r="F111" t="inlineStr">
        <is>
          <t>shares_m</t>
        </is>
      </c>
      <c r="G111" t="inlineStr">
        <is>
          <t>10-Q - Q2 2026 (quarter ended 2026-06-30)</t>
        </is>
      </c>
      <c r="H111" t="inlineStr">
        <is>
          <t>0001628280-26-049270</t>
        </is>
      </c>
      <c r="I111" t="inlineStr">
        <is>
          <t>Note 1, Net Income per Share reconciliation (three months), p.13</t>
        </is>
      </c>
      <c r="J111" t="inlineStr">
        <is>
          <t>Quarterly report (10-Q)</t>
        </is>
      </c>
      <c r="K111" t="inlineStr">
        <is>
          <t>not XBRL-tagged (read from filing text)</t>
        </is>
      </c>
      <c r="L111" t="inlineStr"/>
      <c r="M111" t="inlineStr">
        <is>
          <t>https://www.sec.gov/Archives/edgar/data/1318605/000162828026049270/tsla-20260630.htm</t>
        </is>
      </c>
    </row>
    <row r="112">
      <c r="A112" t="inlineStr">
        <is>
          <t>da_cogs_auto</t>
        </is>
      </c>
      <c r="B112" t="inlineStr">
        <is>
          <t>D&amp;A in automotive segment cost of revenues</t>
        </is>
      </c>
      <c r="C112" t="inlineStr">
        <is>
          <t>Segment note</t>
        </is>
      </c>
      <c r="D112" t="inlineStr">
        <is>
          <t>FY2023</t>
        </is>
      </c>
      <c r="E112" s="4" t="n">
        <v>3450</v>
      </c>
      <c r="F112" t="inlineStr">
        <is>
          <t>USD m</t>
        </is>
      </c>
      <c r="G112" t="inlineStr">
        <is>
          <t>10-K - FY2025 (year ended 2025-12-31)</t>
        </is>
      </c>
      <c r="H112" t="inlineStr">
        <is>
          <t>0001628280-26-003952</t>
        </is>
      </c>
      <c r="I112" t="inlineStr">
        <is>
          <t>Note 16 Segment Reporting, footnotes (1)-(2), p.93</t>
        </is>
      </c>
      <c r="J112" t="inlineStr">
        <is>
          <t>Annual report (10-K)</t>
        </is>
      </c>
      <c r="K112" t="inlineStr">
        <is>
          <t>not XBRL-tagged (read from filing text)</t>
        </is>
      </c>
      <c r="L112" t="inlineStr"/>
      <c r="M112" t="inlineStr">
        <is>
          <t>https://www.sec.gov/Archives/edgar/data/1318605/000162828026003952/tsla-20251231.htm</t>
        </is>
      </c>
    </row>
    <row r="113">
      <c r="A113" t="inlineStr">
        <is>
          <t>da_cogs_auto</t>
        </is>
      </c>
      <c r="B113" t="inlineStr">
        <is>
          <t>D&amp;A in automotive segment cost of revenues</t>
        </is>
      </c>
      <c r="C113" t="inlineStr">
        <is>
          <t>Segment note</t>
        </is>
      </c>
      <c r="D113" t="inlineStr">
        <is>
          <t>FY2024</t>
        </is>
      </c>
      <c r="E113" s="4" t="n">
        <v>3680</v>
      </c>
      <c r="F113" t="inlineStr">
        <is>
          <t>USD m</t>
        </is>
      </c>
      <c r="G113" t="inlineStr">
        <is>
          <t>10-K - FY2025 (year ended 2025-12-31)</t>
        </is>
      </c>
      <c r="H113" t="inlineStr">
        <is>
          <t>0001628280-26-003952</t>
        </is>
      </c>
      <c r="I113" t="inlineStr">
        <is>
          <t>Note 16 Segment Reporting, footnotes (1)-(2), p.93</t>
        </is>
      </c>
      <c r="J113" t="inlineStr">
        <is>
          <t>Annual report (10-K)</t>
        </is>
      </c>
      <c r="K113" t="inlineStr">
        <is>
          <t>not XBRL-tagged (read from filing text)</t>
        </is>
      </c>
      <c r="L113" t="inlineStr"/>
      <c r="M113" t="inlineStr">
        <is>
          <t>https://www.sec.gov/Archives/edgar/data/1318605/000162828026003952/tsla-20251231.htm</t>
        </is>
      </c>
    </row>
    <row r="114">
      <c r="A114" t="inlineStr">
        <is>
          <t>da_cogs_auto</t>
        </is>
      </c>
      <c r="B114" t="inlineStr">
        <is>
          <t>D&amp;A in automotive segment cost of revenues</t>
        </is>
      </c>
      <c r="C114" t="inlineStr">
        <is>
          <t>Segment note</t>
        </is>
      </c>
      <c r="D114" t="inlineStr">
        <is>
          <t>FY2025</t>
        </is>
      </c>
      <c r="E114" s="4" t="n">
        <v>3780</v>
      </c>
      <c r="F114" t="inlineStr">
        <is>
          <t>USD m</t>
        </is>
      </c>
      <c r="G114" t="inlineStr">
        <is>
          <t>10-K - FY2025 (year ended 2025-12-31)</t>
        </is>
      </c>
      <c r="H114" t="inlineStr">
        <is>
          <t>0001628280-26-003952</t>
        </is>
      </c>
      <c r="I114" t="inlineStr">
        <is>
          <t>Note 16 Segment Reporting, footnotes (1)-(2), p.93</t>
        </is>
      </c>
      <c r="J114" t="inlineStr">
        <is>
          <t>Annual report (10-K)</t>
        </is>
      </c>
      <c r="K114" t="inlineStr">
        <is>
          <t>not XBRL-tagged (read from filing text)</t>
        </is>
      </c>
      <c r="L114" t="inlineStr"/>
      <c r="M114" t="inlineStr">
        <is>
          <t>https://www.sec.gov/Archives/edgar/data/1318605/000162828026003952/tsla-20251231.htm</t>
        </is>
      </c>
    </row>
    <row r="115">
      <c r="A115" t="inlineStr">
        <is>
          <t>da_cogs_auto</t>
        </is>
      </c>
      <c r="B115" t="inlineStr">
        <is>
          <t>D&amp;A in automotive segment cost of revenues</t>
        </is>
      </c>
      <c r="C115" t="inlineStr">
        <is>
          <t>Segment note</t>
        </is>
      </c>
      <c r="D115" t="inlineStr">
        <is>
          <t>H1_2026</t>
        </is>
      </c>
      <c r="E115" s="4" t="n">
        <v>1940</v>
      </c>
      <c r="F115" t="inlineStr">
        <is>
          <t>USD m</t>
        </is>
      </c>
      <c r="G115" t="inlineStr">
        <is>
          <t>10-Q - Q2 2026 (quarter ended 2026-06-30)</t>
        </is>
      </c>
      <c r="H115" t="inlineStr">
        <is>
          <t>0001628280-26-049270</t>
        </is>
      </c>
      <c r="I115" t="inlineStr">
        <is>
          <t>Note 14 Segment Reporting, footnotes (1)-(2)</t>
        </is>
      </c>
      <c r="J115" t="inlineStr">
        <is>
          <t>Quarterly report (10-Q)</t>
        </is>
      </c>
      <c r="K115" t="inlineStr">
        <is>
          <t>not XBRL-tagged (read from filing text)</t>
        </is>
      </c>
      <c r="L115" t="inlineStr"/>
      <c r="M115" t="inlineStr">
        <is>
          <t>https://www.sec.gov/Archives/edgar/data/1318605/000162828026049270/tsla-20260630.htm</t>
        </is>
      </c>
    </row>
    <row r="116">
      <c r="A116" t="inlineStr">
        <is>
          <t>da_cogs_energy</t>
        </is>
      </c>
      <c r="B116" t="inlineStr">
        <is>
          <t>D&amp;A in energy segment cost of revenues</t>
        </is>
      </c>
      <c r="C116" t="inlineStr">
        <is>
          <t>Segment note</t>
        </is>
      </c>
      <c r="D116" t="inlineStr">
        <is>
          <t>FY2023</t>
        </is>
      </c>
      <c r="E116" s="4" t="n">
        <v>343</v>
      </c>
      <c r="F116" t="inlineStr">
        <is>
          <t>USD m</t>
        </is>
      </c>
      <c r="G116" t="inlineStr">
        <is>
          <t>10-K - FY2025 (year ended 2025-12-31)</t>
        </is>
      </c>
      <c r="H116" t="inlineStr">
        <is>
          <t>0001628280-26-003952</t>
        </is>
      </c>
      <c r="I116" t="inlineStr">
        <is>
          <t>Note 16 Segment Reporting, footnotes (1)-(2), p.93</t>
        </is>
      </c>
      <c r="J116" t="inlineStr">
        <is>
          <t>Annual report (10-K)</t>
        </is>
      </c>
      <c r="K116" t="inlineStr">
        <is>
          <t>not XBRL-tagged (read from filing text)</t>
        </is>
      </c>
      <c r="L116" t="inlineStr"/>
      <c r="M116" t="inlineStr">
        <is>
          <t>https://www.sec.gov/Archives/edgar/data/1318605/000162828026003952/tsla-20251231.htm</t>
        </is>
      </c>
    </row>
    <row r="117">
      <c r="A117" t="inlineStr">
        <is>
          <t>da_cogs_energy</t>
        </is>
      </c>
      <c r="B117" t="inlineStr">
        <is>
          <t>D&amp;A in energy segment cost of revenues</t>
        </is>
      </c>
      <c r="C117" t="inlineStr">
        <is>
          <t>Segment note</t>
        </is>
      </c>
      <c r="D117" t="inlineStr">
        <is>
          <t>FY2024</t>
        </is>
      </c>
      <c r="E117" s="4" t="n">
        <v>377</v>
      </c>
      <c r="F117" t="inlineStr">
        <is>
          <t>USD m</t>
        </is>
      </c>
      <c r="G117" t="inlineStr">
        <is>
          <t>10-K - FY2025 (year ended 2025-12-31)</t>
        </is>
      </c>
      <c r="H117" t="inlineStr">
        <is>
          <t>0001628280-26-003952</t>
        </is>
      </c>
      <c r="I117" t="inlineStr">
        <is>
          <t>Note 16 Segment Reporting, footnotes (1)-(2), p.93</t>
        </is>
      </c>
      <c r="J117" t="inlineStr">
        <is>
          <t>Annual report (10-K)</t>
        </is>
      </c>
      <c r="K117" t="inlineStr">
        <is>
          <t>not XBRL-tagged (read from filing text)</t>
        </is>
      </c>
      <c r="L117" t="inlineStr"/>
      <c r="M117" t="inlineStr">
        <is>
          <t>https://www.sec.gov/Archives/edgar/data/1318605/000162828026003952/tsla-20251231.htm</t>
        </is>
      </c>
    </row>
    <row r="118">
      <c r="A118" t="inlineStr">
        <is>
          <t>da_cogs_energy</t>
        </is>
      </c>
      <c r="B118" t="inlineStr">
        <is>
          <t>D&amp;A in energy segment cost of revenues</t>
        </is>
      </c>
      <c r="C118" t="inlineStr">
        <is>
          <t>Segment note</t>
        </is>
      </c>
      <c r="D118" t="inlineStr">
        <is>
          <t>FY2025</t>
        </is>
      </c>
      <c r="E118" s="4" t="n">
        <v>355</v>
      </c>
      <c r="F118" t="inlineStr">
        <is>
          <t>USD m</t>
        </is>
      </c>
      <c r="G118" t="inlineStr">
        <is>
          <t>10-K - FY2025 (year ended 2025-12-31)</t>
        </is>
      </c>
      <c r="H118" t="inlineStr">
        <is>
          <t>0001628280-26-003952</t>
        </is>
      </c>
      <c r="I118" t="inlineStr">
        <is>
          <t>Note 16 Segment Reporting, footnotes (1)-(2), p.93</t>
        </is>
      </c>
      <c r="J118" t="inlineStr">
        <is>
          <t>Annual report (10-K)</t>
        </is>
      </c>
      <c r="K118" t="inlineStr">
        <is>
          <t>not XBRL-tagged (read from filing text)</t>
        </is>
      </c>
      <c r="L118" t="inlineStr"/>
      <c r="M118" t="inlineStr">
        <is>
          <t>https://www.sec.gov/Archives/edgar/data/1318605/000162828026003952/tsla-20251231.htm</t>
        </is>
      </c>
    </row>
    <row r="119">
      <c r="A119" t="inlineStr">
        <is>
          <t>da_cogs_energy</t>
        </is>
      </c>
      <c r="B119" t="inlineStr">
        <is>
          <t>D&amp;A in energy segment cost of revenues</t>
        </is>
      </c>
      <c r="C119" t="inlineStr">
        <is>
          <t>Segment note</t>
        </is>
      </c>
      <c r="D119" t="inlineStr">
        <is>
          <t>H1_2026</t>
        </is>
      </c>
      <c r="E119" s="4" t="n">
        <v>192</v>
      </c>
      <c r="F119" t="inlineStr">
        <is>
          <t>USD m</t>
        </is>
      </c>
      <c r="G119" t="inlineStr">
        <is>
          <t>10-Q - Q2 2026 (quarter ended 2026-06-30)</t>
        </is>
      </c>
      <c r="H119" t="inlineStr">
        <is>
          <t>0001628280-26-049270</t>
        </is>
      </c>
      <c r="I119" t="inlineStr">
        <is>
          <t>Note 14 Segment Reporting, footnotes (1)-(2)</t>
        </is>
      </c>
      <c r="J119" t="inlineStr">
        <is>
          <t>Quarterly report (10-Q)</t>
        </is>
      </c>
      <c r="K119" t="inlineStr">
        <is>
          <t>not XBRL-tagged (read from filing text)</t>
        </is>
      </c>
      <c r="L119" t="inlineStr"/>
      <c r="M119" t="inlineStr">
        <is>
          <t>https://www.sec.gov/Archives/edgar/data/1318605/000162828026049270/tsla-20260630.htm</t>
        </is>
      </c>
    </row>
    <row r="120">
      <c r="A120" t="inlineStr">
        <is>
          <t>da_total</t>
        </is>
      </c>
      <c r="B120" t="inlineStr">
        <is>
          <t>Depreciation, amortization and impairment</t>
        </is>
      </c>
      <c r="C120" t="inlineStr">
        <is>
          <t>Cash flow</t>
        </is>
      </c>
      <c r="D120" t="inlineStr">
        <is>
          <t>FY2023</t>
        </is>
      </c>
      <c r="E120" s="4" t="n">
        <v>4667</v>
      </c>
      <c r="F120" t="inlineStr">
        <is>
          <t>USD m</t>
        </is>
      </c>
      <c r="G120" t="inlineStr">
        <is>
          <t>10-K - FY2025 (year ended 2025-12-31)</t>
        </is>
      </c>
      <c r="H120" t="inlineStr">
        <is>
          <t>0001628280-26-003952</t>
        </is>
      </c>
      <c r="I120" t="inlineStr">
        <is>
          <t>Part II Item 8, Consolidated Statements of Cash Flows, p.53</t>
        </is>
      </c>
      <c r="J120" t="inlineStr">
        <is>
          <t>Annual report (10-K)</t>
        </is>
      </c>
      <c r="K120" t="inlineStr">
        <is>
          <t>not XBRL-tagged (read from filing text)</t>
        </is>
      </c>
      <c r="L120" t="inlineStr"/>
      <c r="M120" t="inlineStr">
        <is>
          <t>https://www.sec.gov/Archives/edgar/data/1318605/000162828026003952/tsla-20251231.htm</t>
        </is>
      </c>
    </row>
    <row r="121">
      <c r="A121" t="inlineStr">
        <is>
          <t>da_total</t>
        </is>
      </c>
      <c r="B121" t="inlineStr">
        <is>
          <t>Depreciation, amortization and impairment</t>
        </is>
      </c>
      <c r="C121" t="inlineStr">
        <is>
          <t>Cash flow</t>
        </is>
      </c>
      <c r="D121" t="inlineStr">
        <is>
          <t>FY2024</t>
        </is>
      </c>
      <c r="E121" s="4" t="n">
        <v>5368</v>
      </c>
      <c r="F121" t="inlineStr">
        <is>
          <t>USD m</t>
        </is>
      </c>
      <c r="G121" t="inlineStr">
        <is>
          <t>10-K - FY2025 (year ended 2025-12-31)</t>
        </is>
      </c>
      <c r="H121" t="inlineStr">
        <is>
          <t>0001628280-26-003952</t>
        </is>
      </c>
      <c r="I121" t="inlineStr">
        <is>
          <t>Part II Item 8, Consolidated Statements of Cash Flows, p.53</t>
        </is>
      </c>
      <c r="J121" t="inlineStr">
        <is>
          <t>Annual report (10-K)</t>
        </is>
      </c>
      <c r="K121" t="inlineStr">
        <is>
          <t>not XBRL-tagged (read from filing text)</t>
        </is>
      </c>
      <c r="L121" t="inlineStr"/>
      <c r="M121" t="inlineStr">
        <is>
          <t>https://www.sec.gov/Archives/edgar/data/1318605/000162828026003952/tsla-20251231.htm</t>
        </is>
      </c>
    </row>
    <row r="122">
      <c r="A122" t="inlineStr">
        <is>
          <t>da_total</t>
        </is>
      </c>
      <c r="B122" t="inlineStr">
        <is>
          <t>Depreciation, amortization and impairment</t>
        </is>
      </c>
      <c r="C122" t="inlineStr">
        <is>
          <t>Cash flow</t>
        </is>
      </c>
      <c r="D122" t="inlineStr">
        <is>
          <t>FY2025</t>
        </is>
      </c>
      <c r="E122" s="4" t="n">
        <v>6148</v>
      </c>
      <c r="F122" t="inlineStr">
        <is>
          <t>USD m</t>
        </is>
      </c>
      <c r="G122" t="inlineStr">
        <is>
          <t>10-K - FY2025 (year ended 2025-12-31)</t>
        </is>
      </c>
      <c r="H122" t="inlineStr">
        <is>
          <t>0001628280-26-003952</t>
        </is>
      </c>
      <c r="I122" t="inlineStr">
        <is>
          <t>Part II Item 8, Consolidated Statements of Cash Flows, p.53</t>
        </is>
      </c>
      <c r="J122" t="inlineStr">
        <is>
          <t>Annual report (10-K)</t>
        </is>
      </c>
      <c r="K122" t="inlineStr">
        <is>
          <t>not XBRL-tagged (read from filing text)</t>
        </is>
      </c>
      <c r="L122" t="inlineStr"/>
      <c r="M122" t="inlineStr">
        <is>
          <t>https://www.sec.gov/Archives/edgar/data/1318605/000162828026003952/tsla-20251231.htm</t>
        </is>
      </c>
    </row>
    <row r="123">
      <c r="A123" t="inlineStr">
        <is>
          <t>da_total</t>
        </is>
      </c>
      <c r="B123" t="inlineStr">
        <is>
          <t>Depreciation, amortization and impairment</t>
        </is>
      </c>
      <c r="C123" t="inlineStr">
        <is>
          <t>Cash flow</t>
        </is>
      </c>
      <c r="D123" t="inlineStr">
        <is>
          <t>H1_2026</t>
        </is>
      </c>
      <c r="E123" s="4" t="n">
        <v>3209</v>
      </c>
      <c r="F123" t="inlineStr">
        <is>
          <t>USD m</t>
        </is>
      </c>
      <c r="G123" t="inlineStr">
        <is>
          <t>10-Q - Q2 2026 (quarter ended 2026-06-30)</t>
        </is>
      </c>
      <c r="H123" t="inlineStr">
        <is>
          <t>0001628280-26-049270</t>
        </is>
      </c>
      <c r="I123" t="inlineStr">
        <is>
          <t>Part I Item 1, Consolidated Statements of Cash Flows (six months), p.8-9</t>
        </is>
      </c>
      <c r="J123" t="inlineStr">
        <is>
          <t>Quarterly report (10-Q)</t>
        </is>
      </c>
      <c r="K123" t="inlineStr">
        <is>
          <t>not XBRL-tagged (read from filing text)</t>
        </is>
      </c>
      <c r="L123" t="inlineStr"/>
      <c r="M123" t="inlineStr">
        <is>
          <t>https://www.sec.gov/Archives/edgar/data/1318605/000162828026049270/tsla-20260630.htm</t>
        </is>
      </c>
    </row>
    <row r="124">
      <c r="A124" t="inlineStr">
        <is>
          <t>sbc</t>
        </is>
      </c>
      <c r="B124" t="inlineStr">
        <is>
          <t>Stock-based compensation</t>
        </is>
      </c>
      <c r="C124" t="inlineStr">
        <is>
          <t>Cash flow</t>
        </is>
      </c>
      <c r="D124" t="inlineStr">
        <is>
          <t>FY2023</t>
        </is>
      </c>
      <c r="E124" s="4" t="n">
        <v>1812</v>
      </c>
      <c r="F124" t="inlineStr">
        <is>
          <t>USD m</t>
        </is>
      </c>
      <c r="G124" t="inlineStr">
        <is>
          <t>10-K - FY2025 (year ended 2025-12-31)</t>
        </is>
      </c>
      <c r="H124" t="inlineStr">
        <is>
          <t>0001628280-26-003952</t>
        </is>
      </c>
      <c r="I124" t="inlineStr">
        <is>
          <t>Part II Item 8, Consolidated Statements of Cash Flows, p.53</t>
        </is>
      </c>
      <c r="J124" t="inlineStr">
        <is>
          <t>Annual report (10-K)</t>
        </is>
      </c>
      <c r="K124" t="inlineStr">
        <is>
          <t>not XBRL-tagged (read from filing text)</t>
        </is>
      </c>
      <c r="L124" t="inlineStr"/>
      <c r="M124" t="inlineStr">
        <is>
          <t>https://www.sec.gov/Archives/edgar/data/1318605/000162828026003952/tsla-20251231.htm</t>
        </is>
      </c>
    </row>
    <row r="125">
      <c r="A125" t="inlineStr">
        <is>
          <t>sbc</t>
        </is>
      </c>
      <c r="B125" t="inlineStr">
        <is>
          <t>Stock-based compensation</t>
        </is>
      </c>
      <c r="C125" t="inlineStr">
        <is>
          <t>Cash flow</t>
        </is>
      </c>
      <c r="D125" t="inlineStr">
        <is>
          <t>FY2024</t>
        </is>
      </c>
      <c r="E125" s="4" t="n">
        <v>1999</v>
      </c>
      <c r="F125" t="inlineStr">
        <is>
          <t>USD m</t>
        </is>
      </c>
      <c r="G125" t="inlineStr">
        <is>
          <t>10-K - FY2025 (year ended 2025-12-31)</t>
        </is>
      </c>
      <c r="H125" t="inlineStr">
        <is>
          <t>0001628280-26-003952</t>
        </is>
      </c>
      <c r="I125" t="inlineStr">
        <is>
          <t>Part II Item 8, Consolidated Statements of Cash Flows, p.53</t>
        </is>
      </c>
      <c r="J125" t="inlineStr">
        <is>
          <t>Annual report (10-K)</t>
        </is>
      </c>
      <c r="K125" t="inlineStr">
        <is>
          <t>not XBRL-tagged (read from filing text)</t>
        </is>
      </c>
      <c r="L125" t="inlineStr"/>
      <c r="M125" t="inlineStr">
        <is>
          <t>https://www.sec.gov/Archives/edgar/data/1318605/000162828026003952/tsla-20251231.htm</t>
        </is>
      </c>
    </row>
    <row r="126">
      <c r="A126" t="inlineStr">
        <is>
          <t>sbc</t>
        </is>
      </c>
      <c r="B126" t="inlineStr">
        <is>
          <t>Stock-based compensation</t>
        </is>
      </c>
      <c r="C126" t="inlineStr">
        <is>
          <t>Cash flow</t>
        </is>
      </c>
      <c r="D126" t="inlineStr">
        <is>
          <t>FY2025</t>
        </is>
      </c>
      <c r="E126" s="4" t="n">
        <v>2825</v>
      </c>
      <c r="F126" t="inlineStr">
        <is>
          <t>USD m</t>
        </is>
      </c>
      <c r="G126" t="inlineStr">
        <is>
          <t>10-K - FY2025 (year ended 2025-12-31)</t>
        </is>
      </c>
      <c r="H126" t="inlineStr">
        <is>
          <t>0001628280-26-003952</t>
        </is>
      </c>
      <c r="I126" t="inlineStr">
        <is>
          <t>Part II Item 8, Consolidated Statements of Cash Flows, p.53</t>
        </is>
      </c>
      <c r="J126" t="inlineStr">
        <is>
          <t>Annual report (10-K)</t>
        </is>
      </c>
      <c r="K126" t="inlineStr">
        <is>
          <t>not XBRL-tagged (read from filing text)</t>
        </is>
      </c>
      <c r="L126" t="inlineStr"/>
      <c r="M126" t="inlineStr">
        <is>
          <t>https://www.sec.gov/Archives/edgar/data/1318605/000162828026003952/tsla-20251231.htm</t>
        </is>
      </c>
    </row>
    <row r="127">
      <c r="A127" t="inlineStr">
        <is>
          <t>sbc</t>
        </is>
      </c>
      <c r="B127" t="inlineStr">
        <is>
          <t>Stock-based compensation</t>
        </is>
      </c>
      <c r="C127" t="inlineStr">
        <is>
          <t>Cash flow</t>
        </is>
      </c>
      <c r="D127" t="inlineStr">
        <is>
          <t>H1_2026</t>
        </is>
      </c>
      <c r="E127" s="4" t="n">
        <v>2181</v>
      </c>
      <c r="F127" t="inlineStr">
        <is>
          <t>USD m</t>
        </is>
      </c>
      <c r="G127" t="inlineStr">
        <is>
          <t>10-Q - Q2 2026 (quarter ended 2026-06-30)</t>
        </is>
      </c>
      <c r="H127" t="inlineStr">
        <is>
          <t>0001628280-26-049270</t>
        </is>
      </c>
      <c r="I127" t="inlineStr">
        <is>
          <t>Part I Item 1, Consolidated Statements of Cash Flows (six months), p.8-9</t>
        </is>
      </c>
      <c r="J127" t="inlineStr">
        <is>
          <t>Quarterly report (10-Q)</t>
        </is>
      </c>
      <c r="K127" t="inlineStr">
        <is>
          <t>not XBRL-tagged (read from filing text)</t>
        </is>
      </c>
      <c r="L127" t="inlineStr"/>
      <c r="M127" t="inlineStr">
        <is>
          <t>https://www.sec.gov/Archives/edgar/data/1318605/000162828026049270/tsla-20260630.htm</t>
        </is>
      </c>
    </row>
    <row r="128">
      <c r="A128" t="inlineStr">
        <is>
          <t>cf_chg_ar</t>
        </is>
      </c>
      <c r="B128" t="inlineStr">
        <is>
          <t>Change in accounts receivable</t>
        </is>
      </c>
      <c r="C128" t="inlineStr">
        <is>
          <t>Cash flow</t>
        </is>
      </c>
      <c r="D128" t="inlineStr">
        <is>
          <t>FY2023</t>
        </is>
      </c>
      <c r="E128" s="4" t="n">
        <v>-586</v>
      </c>
      <c r="F128" t="inlineStr">
        <is>
          <t>USD m</t>
        </is>
      </c>
      <c r="G128" t="inlineStr">
        <is>
          <t>10-K - FY2025 (year ended 2025-12-31)</t>
        </is>
      </c>
      <c r="H128" t="inlineStr">
        <is>
          <t>0001628280-26-003952</t>
        </is>
      </c>
      <c r="I128" t="inlineStr">
        <is>
          <t>Part II Item 8, Consolidated Statements of Cash Flows, p.53</t>
        </is>
      </c>
      <c r="J128" t="inlineStr">
        <is>
          <t>Annual report (10-K)</t>
        </is>
      </c>
      <c r="K128" t="inlineStr">
        <is>
          <t>not XBRL-tagged (read from filing text)</t>
        </is>
      </c>
      <c r="L128" t="inlineStr"/>
      <c r="M128" t="inlineStr">
        <is>
          <t>https://www.sec.gov/Archives/edgar/data/1318605/000162828026003952/tsla-20251231.htm</t>
        </is>
      </c>
    </row>
    <row r="129">
      <c r="A129" t="inlineStr">
        <is>
          <t>cf_chg_ar</t>
        </is>
      </c>
      <c r="B129" t="inlineStr">
        <is>
          <t>Change in accounts receivable</t>
        </is>
      </c>
      <c r="C129" t="inlineStr">
        <is>
          <t>Cash flow</t>
        </is>
      </c>
      <c r="D129" t="inlineStr">
        <is>
          <t>FY2024</t>
        </is>
      </c>
      <c r="E129" s="4" t="n">
        <v>-1083</v>
      </c>
      <c r="F129" t="inlineStr">
        <is>
          <t>USD m</t>
        </is>
      </c>
      <c r="G129" t="inlineStr">
        <is>
          <t>10-K - FY2025 (year ended 2025-12-31)</t>
        </is>
      </c>
      <c r="H129" t="inlineStr">
        <is>
          <t>0001628280-26-003952</t>
        </is>
      </c>
      <c r="I129" t="inlineStr">
        <is>
          <t>Part II Item 8, Consolidated Statements of Cash Flows, p.53</t>
        </is>
      </c>
      <c r="J129" t="inlineStr">
        <is>
          <t>Annual report (10-K)</t>
        </is>
      </c>
      <c r="K129" t="inlineStr">
        <is>
          <t>not XBRL-tagged (read from filing text)</t>
        </is>
      </c>
      <c r="L129" t="inlineStr"/>
      <c r="M129" t="inlineStr">
        <is>
          <t>https://www.sec.gov/Archives/edgar/data/1318605/000162828026003952/tsla-20251231.htm</t>
        </is>
      </c>
    </row>
    <row r="130">
      <c r="A130" t="inlineStr">
        <is>
          <t>cf_chg_ar</t>
        </is>
      </c>
      <c r="B130" t="inlineStr">
        <is>
          <t>Change in accounts receivable</t>
        </is>
      </c>
      <c r="C130" t="inlineStr">
        <is>
          <t>Cash flow</t>
        </is>
      </c>
      <c r="D130" t="inlineStr">
        <is>
          <t>FY2025</t>
        </is>
      </c>
      <c r="E130" s="4" t="n">
        <v>-261</v>
      </c>
      <c r="F130" t="inlineStr">
        <is>
          <t>USD m</t>
        </is>
      </c>
      <c r="G130" t="inlineStr">
        <is>
          <t>10-K - FY2025 (year ended 2025-12-31)</t>
        </is>
      </c>
      <c r="H130" t="inlineStr">
        <is>
          <t>0001628280-26-003952</t>
        </is>
      </c>
      <c r="I130" t="inlineStr">
        <is>
          <t>Part II Item 8, Consolidated Statements of Cash Flows, p.53</t>
        </is>
      </c>
      <c r="J130" t="inlineStr">
        <is>
          <t>Annual report (10-K)</t>
        </is>
      </c>
      <c r="K130" t="inlineStr">
        <is>
          <t>not XBRL-tagged (read from filing text)</t>
        </is>
      </c>
      <c r="L130" t="inlineStr"/>
      <c r="M130" t="inlineStr">
        <is>
          <t>https://www.sec.gov/Archives/edgar/data/1318605/000162828026003952/tsla-20251231.htm</t>
        </is>
      </c>
    </row>
    <row r="131">
      <c r="A131" t="inlineStr">
        <is>
          <t>cf_chg_ar</t>
        </is>
      </c>
      <c r="B131" t="inlineStr">
        <is>
          <t>Change in accounts receivable</t>
        </is>
      </c>
      <c r="C131" t="inlineStr">
        <is>
          <t>Cash flow</t>
        </is>
      </c>
      <c r="D131" t="inlineStr">
        <is>
          <t>H1_2026</t>
        </is>
      </c>
      <c r="E131" s="4" t="n">
        <v>377</v>
      </c>
      <c r="F131" t="inlineStr">
        <is>
          <t>USD m</t>
        </is>
      </c>
      <c r="G131" t="inlineStr">
        <is>
          <t>10-Q - Q2 2026 (quarter ended 2026-06-30)</t>
        </is>
      </c>
      <c r="H131" t="inlineStr">
        <is>
          <t>0001628280-26-049270</t>
        </is>
      </c>
      <c r="I131" t="inlineStr">
        <is>
          <t>Part I Item 1, Consolidated Statements of Cash Flows (six months), p.8-9</t>
        </is>
      </c>
      <c r="J131" t="inlineStr">
        <is>
          <t>Quarterly report (10-Q)</t>
        </is>
      </c>
      <c r="K131" t="inlineStr">
        <is>
          <t>not XBRL-tagged (read from filing text)</t>
        </is>
      </c>
      <c r="L131" t="inlineStr"/>
      <c r="M131" t="inlineStr">
        <is>
          <t>https://www.sec.gov/Archives/edgar/data/1318605/000162828026049270/tsla-20260630.htm</t>
        </is>
      </c>
    </row>
    <row r="132">
      <c r="A132" t="inlineStr">
        <is>
          <t>cf_chg_inventory</t>
        </is>
      </c>
      <c r="B132" t="inlineStr">
        <is>
          <t>Change in inventory</t>
        </is>
      </c>
      <c r="C132" t="inlineStr">
        <is>
          <t>Cash flow</t>
        </is>
      </c>
      <c r="D132" t="inlineStr">
        <is>
          <t>FY2023</t>
        </is>
      </c>
      <c r="E132" s="4" t="n">
        <v>-1195</v>
      </c>
      <c r="F132" t="inlineStr">
        <is>
          <t>USD m</t>
        </is>
      </c>
      <c r="G132" t="inlineStr">
        <is>
          <t>10-K - FY2025 (year ended 2025-12-31)</t>
        </is>
      </c>
      <c r="H132" t="inlineStr">
        <is>
          <t>0001628280-26-003952</t>
        </is>
      </c>
      <c r="I132" t="inlineStr">
        <is>
          <t>Part II Item 8, Consolidated Statements of Cash Flows, p.53</t>
        </is>
      </c>
      <c r="J132" t="inlineStr">
        <is>
          <t>Annual report (10-K)</t>
        </is>
      </c>
      <c r="K132" t="inlineStr">
        <is>
          <t>not XBRL-tagged (read from filing text)</t>
        </is>
      </c>
      <c r="L132" t="inlineStr"/>
      <c r="M132" t="inlineStr">
        <is>
          <t>https://www.sec.gov/Archives/edgar/data/1318605/000162828026003952/tsla-20251231.htm</t>
        </is>
      </c>
    </row>
    <row r="133">
      <c r="A133" t="inlineStr">
        <is>
          <t>cf_chg_inventory</t>
        </is>
      </c>
      <c r="B133" t="inlineStr">
        <is>
          <t>Change in inventory</t>
        </is>
      </c>
      <c r="C133" t="inlineStr">
        <is>
          <t>Cash flow</t>
        </is>
      </c>
      <c r="D133" t="inlineStr">
        <is>
          <t>FY2024</t>
        </is>
      </c>
      <c r="E133" s="4" t="n">
        <v>937</v>
      </c>
      <c r="F133" t="inlineStr">
        <is>
          <t>USD m</t>
        </is>
      </c>
      <c r="G133" t="inlineStr">
        <is>
          <t>10-K - FY2025 (year ended 2025-12-31)</t>
        </is>
      </c>
      <c r="H133" t="inlineStr">
        <is>
          <t>0001628280-26-003952</t>
        </is>
      </c>
      <c r="I133" t="inlineStr">
        <is>
          <t>Part II Item 8, Consolidated Statements of Cash Flows, p.53</t>
        </is>
      </c>
      <c r="J133" t="inlineStr">
        <is>
          <t>Annual report (10-K)</t>
        </is>
      </c>
      <c r="K133" t="inlineStr">
        <is>
          <t>not XBRL-tagged (read from filing text)</t>
        </is>
      </c>
      <c r="L133" t="inlineStr"/>
      <c r="M133" t="inlineStr">
        <is>
          <t>https://www.sec.gov/Archives/edgar/data/1318605/000162828026003952/tsla-20251231.htm</t>
        </is>
      </c>
    </row>
    <row r="134">
      <c r="A134" t="inlineStr">
        <is>
          <t>cf_chg_inventory</t>
        </is>
      </c>
      <c r="B134" t="inlineStr">
        <is>
          <t>Change in inventory</t>
        </is>
      </c>
      <c r="C134" t="inlineStr">
        <is>
          <t>Cash flow</t>
        </is>
      </c>
      <c r="D134" t="inlineStr">
        <is>
          <t>FY2025</t>
        </is>
      </c>
      <c r="E134" s="4" t="n">
        <v>-630</v>
      </c>
      <c r="F134" t="inlineStr">
        <is>
          <t>USD m</t>
        </is>
      </c>
      <c r="G134" t="inlineStr">
        <is>
          <t>10-K - FY2025 (year ended 2025-12-31)</t>
        </is>
      </c>
      <c r="H134" t="inlineStr">
        <is>
          <t>0001628280-26-003952</t>
        </is>
      </c>
      <c r="I134" t="inlineStr">
        <is>
          <t>Part II Item 8, Consolidated Statements of Cash Flows, p.53</t>
        </is>
      </c>
      <c r="J134" t="inlineStr">
        <is>
          <t>Annual report (10-K)</t>
        </is>
      </c>
      <c r="K134" t="inlineStr">
        <is>
          <t>not XBRL-tagged (read from filing text)</t>
        </is>
      </c>
      <c r="L134" t="inlineStr"/>
      <c r="M134" t="inlineStr">
        <is>
          <t>https://www.sec.gov/Archives/edgar/data/1318605/000162828026003952/tsla-20251231.htm</t>
        </is>
      </c>
    </row>
    <row r="135">
      <c r="A135" t="inlineStr">
        <is>
          <t>cf_chg_inventory</t>
        </is>
      </c>
      <c r="B135" t="inlineStr">
        <is>
          <t>Change in inventory</t>
        </is>
      </c>
      <c r="C135" t="inlineStr">
        <is>
          <t>Cash flow</t>
        </is>
      </c>
      <c r="D135" t="inlineStr">
        <is>
          <t>H1_2026</t>
        </is>
      </c>
      <c r="E135" s="4" t="n">
        <v>-1663</v>
      </c>
      <c r="F135" t="inlineStr">
        <is>
          <t>USD m</t>
        </is>
      </c>
      <c r="G135" t="inlineStr">
        <is>
          <t>10-Q - Q2 2026 (quarter ended 2026-06-30)</t>
        </is>
      </c>
      <c r="H135" t="inlineStr">
        <is>
          <t>0001628280-26-049270</t>
        </is>
      </c>
      <c r="I135" t="inlineStr">
        <is>
          <t>Part I Item 1, Consolidated Statements of Cash Flows (six months), p.8-9</t>
        </is>
      </c>
      <c r="J135" t="inlineStr">
        <is>
          <t>Quarterly report (10-Q)</t>
        </is>
      </c>
      <c r="K135" t="inlineStr">
        <is>
          <t>not XBRL-tagged (read from filing text)</t>
        </is>
      </c>
      <c r="L135" t="inlineStr"/>
      <c r="M135" t="inlineStr">
        <is>
          <t>https://www.sec.gov/Archives/edgar/data/1318605/000162828026049270/tsla-20260630.htm</t>
        </is>
      </c>
    </row>
    <row r="136">
      <c r="A136" t="inlineStr">
        <is>
          <t>cf_chg_olv</t>
        </is>
      </c>
      <c r="B136" t="inlineStr">
        <is>
          <t>Change in operating lease vehicles</t>
        </is>
      </c>
      <c r="C136" t="inlineStr">
        <is>
          <t>Cash flow</t>
        </is>
      </c>
      <c r="D136" t="inlineStr">
        <is>
          <t>FY2023</t>
        </is>
      </c>
      <c r="E136" s="4" t="n">
        <v>-1952</v>
      </c>
      <c r="F136" t="inlineStr">
        <is>
          <t>USD m</t>
        </is>
      </c>
      <c r="G136" t="inlineStr">
        <is>
          <t>10-K - FY2025 (year ended 2025-12-31)</t>
        </is>
      </c>
      <c r="H136" t="inlineStr">
        <is>
          <t>0001628280-26-003952</t>
        </is>
      </c>
      <c r="I136" t="inlineStr">
        <is>
          <t>Part II Item 8, Consolidated Statements of Cash Flows, p.53</t>
        </is>
      </c>
      <c r="J136" t="inlineStr">
        <is>
          <t>Annual report (10-K)</t>
        </is>
      </c>
      <c r="K136" t="inlineStr">
        <is>
          <t>not XBRL-tagged (read from filing text)</t>
        </is>
      </c>
      <c r="L136" t="inlineStr"/>
      <c r="M136" t="inlineStr">
        <is>
          <t>https://www.sec.gov/Archives/edgar/data/1318605/000162828026003952/tsla-20251231.htm</t>
        </is>
      </c>
    </row>
    <row r="137">
      <c r="A137" t="inlineStr">
        <is>
          <t>cf_chg_olv</t>
        </is>
      </c>
      <c r="B137" t="inlineStr">
        <is>
          <t>Change in operating lease vehicles</t>
        </is>
      </c>
      <c r="C137" t="inlineStr">
        <is>
          <t>Cash flow</t>
        </is>
      </c>
      <c r="D137" t="inlineStr">
        <is>
          <t>FY2024</t>
        </is>
      </c>
      <c r="E137" s="4" t="n">
        <v>-590</v>
      </c>
      <c r="F137" t="inlineStr">
        <is>
          <t>USD m</t>
        </is>
      </c>
      <c r="G137" t="inlineStr">
        <is>
          <t>10-K - FY2025 (year ended 2025-12-31)</t>
        </is>
      </c>
      <c r="H137" t="inlineStr">
        <is>
          <t>0001628280-26-003952</t>
        </is>
      </c>
      <c r="I137" t="inlineStr">
        <is>
          <t>Part II Item 8, Consolidated Statements of Cash Flows, p.53</t>
        </is>
      </c>
      <c r="J137" t="inlineStr">
        <is>
          <t>Annual report (10-K)</t>
        </is>
      </c>
      <c r="K137" t="inlineStr">
        <is>
          <t>not XBRL-tagged (read from filing text)</t>
        </is>
      </c>
      <c r="L137" t="inlineStr"/>
      <c r="M137" t="inlineStr">
        <is>
          <t>https://www.sec.gov/Archives/edgar/data/1318605/000162828026003952/tsla-20251231.htm</t>
        </is>
      </c>
    </row>
    <row r="138">
      <c r="A138" t="inlineStr">
        <is>
          <t>cf_chg_olv</t>
        </is>
      </c>
      <c r="B138" t="inlineStr">
        <is>
          <t>Change in operating lease vehicles</t>
        </is>
      </c>
      <c r="C138" t="inlineStr">
        <is>
          <t>Cash flow</t>
        </is>
      </c>
      <c r="D138" t="inlineStr">
        <is>
          <t>FY2025</t>
        </is>
      </c>
      <c r="E138" s="4" t="n">
        <v>-25</v>
      </c>
      <c r="F138" t="inlineStr">
        <is>
          <t>USD m</t>
        </is>
      </c>
      <c r="G138" t="inlineStr">
        <is>
          <t>10-K - FY2025 (year ended 2025-12-31)</t>
        </is>
      </c>
      <c r="H138" t="inlineStr">
        <is>
          <t>0001628280-26-003952</t>
        </is>
      </c>
      <c r="I138" t="inlineStr">
        <is>
          <t>Part II Item 8, Consolidated Statements of Cash Flows, p.53</t>
        </is>
      </c>
      <c r="J138" t="inlineStr">
        <is>
          <t>Annual report (10-K)</t>
        </is>
      </c>
      <c r="K138" t="inlineStr">
        <is>
          <t>not XBRL-tagged (read from filing text)</t>
        </is>
      </c>
      <c r="L138" t="inlineStr"/>
      <c r="M138" t="inlineStr">
        <is>
          <t>https://www.sec.gov/Archives/edgar/data/1318605/000162828026003952/tsla-20251231.htm</t>
        </is>
      </c>
    </row>
    <row r="139">
      <c r="A139" t="inlineStr">
        <is>
          <t>cf_chg_olv</t>
        </is>
      </c>
      <c r="B139" t="inlineStr">
        <is>
          <t>Change in operating lease vehicles</t>
        </is>
      </c>
      <c r="C139" t="inlineStr">
        <is>
          <t>Cash flow</t>
        </is>
      </c>
      <c r="D139" t="inlineStr">
        <is>
          <t>H1_2026</t>
        </is>
      </c>
      <c r="E139" s="4" t="n">
        <v>260</v>
      </c>
      <c r="F139" t="inlineStr">
        <is>
          <t>USD m</t>
        </is>
      </c>
      <c r="G139" t="inlineStr">
        <is>
          <t>10-Q - Q2 2026 (quarter ended 2026-06-30)</t>
        </is>
      </c>
      <c r="H139" t="inlineStr">
        <is>
          <t>0001628280-26-049270</t>
        </is>
      </c>
      <c r="I139" t="inlineStr">
        <is>
          <t>Part I Item 1, Consolidated Statements of Cash Flows (six months), p.8-9</t>
        </is>
      </c>
      <c r="J139" t="inlineStr">
        <is>
          <t>Quarterly report (10-Q)</t>
        </is>
      </c>
      <c r="K139" t="inlineStr">
        <is>
          <t>not XBRL-tagged (read from filing text)</t>
        </is>
      </c>
      <c r="L139" t="inlineStr"/>
      <c r="M139" t="inlineStr">
        <is>
          <t>https://www.sec.gov/Archives/edgar/data/1318605/000162828026049270/tsla-20260630.htm</t>
        </is>
      </c>
    </row>
    <row r="140">
      <c r="A140" t="inlineStr">
        <is>
          <t>cf_chg_prepaid</t>
        </is>
      </c>
      <c r="B140" t="inlineStr">
        <is>
          <t>Change in prepaid expenses and other assets</t>
        </is>
      </c>
      <c r="C140" t="inlineStr">
        <is>
          <t>Cash flow</t>
        </is>
      </c>
      <c r="D140" t="inlineStr">
        <is>
          <t>FY2023</t>
        </is>
      </c>
      <c r="E140" s="4" t="n">
        <v>-2652</v>
      </c>
      <c r="F140" t="inlineStr">
        <is>
          <t>USD m</t>
        </is>
      </c>
      <c r="G140" t="inlineStr">
        <is>
          <t>10-K - FY2025 (year ended 2025-12-31)</t>
        </is>
      </c>
      <c r="H140" t="inlineStr">
        <is>
          <t>0001628280-26-003952</t>
        </is>
      </c>
      <c r="I140" t="inlineStr">
        <is>
          <t>Part II Item 8, Consolidated Statements of Cash Flows, p.53</t>
        </is>
      </c>
      <c r="J140" t="inlineStr">
        <is>
          <t>Annual report (10-K)</t>
        </is>
      </c>
      <c r="K140" t="inlineStr">
        <is>
          <t>not XBRL-tagged (read from filing text)</t>
        </is>
      </c>
      <c r="L140" t="inlineStr"/>
      <c r="M140" t="inlineStr">
        <is>
          <t>https://www.sec.gov/Archives/edgar/data/1318605/000162828026003952/tsla-20251231.htm</t>
        </is>
      </c>
    </row>
    <row r="141">
      <c r="A141" t="inlineStr">
        <is>
          <t>cf_chg_prepaid</t>
        </is>
      </c>
      <c r="B141" t="inlineStr">
        <is>
          <t>Change in prepaid expenses and other assets</t>
        </is>
      </c>
      <c r="C141" t="inlineStr">
        <is>
          <t>Cash flow</t>
        </is>
      </c>
      <c r="D141" t="inlineStr">
        <is>
          <t>FY2024</t>
        </is>
      </c>
      <c r="E141" s="4" t="n">
        <v>-3273</v>
      </c>
      <c r="F141" t="inlineStr">
        <is>
          <t>USD m</t>
        </is>
      </c>
      <c r="G141" t="inlineStr">
        <is>
          <t>10-K - FY2025 (year ended 2025-12-31)</t>
        </is>
      </c>
      <c r="H141" t="inlineStr">
        <is>
          <t>0001628280-26-003952</t>
        </is>
      </c>
      <c r="I141" t="inlineStr">
        <is>
          <t>Part II Item 8, Consolidated Statements of Cash Flows, p.53</t>
        </is>
      </c>
      <c r="J141" t="inlineStr">
        <is>
          <t>Annual report (10-K)</t>
        </is>
      </c>
      <c r="K141" t="inlineStr">
        <is>
          <t>not XBRL-tagged (read from filing text)</t>
        </is>
      </c>
      <c r="L141" t="inlineStr"/>
      <c r="M141" t="inlineStr">
        <is>
          <t>https://www.sec.gov/Archives/edgar/data/1318605/000162828026003952/tsla-20251231.htm</t>
        </is>
      </c>
    </row>
    <row r="142">
      <c r="A142" t="inlineStr">
        <is>
          <t>cf_chg_prepaid</t>
        </is>
      </c>
      <c r="B142" t="inlineStr">
        <is>
          <t>Change in prepaid expenses and other assets</t>
        </is>
      </c>
      <c r="C142" t="inlineStr">
        <is>
          <t>Cash flow</t>
        </is>
      </c>
      <c r="D142" t="inlineStr">
        <is>
          <t>FY2025</t>
        </is>
      </c>
      <c r="E142" s="4" t="n">
        <v>-3181</v>
      </c>
      <c r="F142" t="inlineStr">
        <is>
          <t>USD m</t>
        </is>
      </c>
      <c r="G142" t="inlineStr">
        <is>
          <t>10-K - FY2025 (year ended 2025-12-31)</t>
        </is>
      </c>
      <c r="H142" t="inlineStr">
        <is>
          <t>0001628280-26-003952</t>
        </is>
      </c>
      <c r="I142" t="inlineStr">
        <is>
          <t>Part II Item 8, Consolidated Statements of Cash Flows, p.53</t>
        </is>
      </c>
      <c r="J142" t="inlineStr">
        <is>
          <t>Annual report (10-K)</t>
        </is>
      </c>
      <c r="K142" t="inlineStr">
        <is>
          <t>not XBRL-tagged (read from filing text)</t>
        </is>
      </c>
      <c r="L142" t="inlineStr"/>
      <c r="M142" t="inlineStr">
        <is>
          <t>https://www.sec.gov/Archives/edgar/data/1318605/000162828026003952/tsla-20251231.htm</t>
        </is>
      </c>
    </row>
    <row r="143">
      <c r="A143" t="inlineStr">
        <is>
          <t>cf_chg_prepaid</t>
        </is>
      </c>
      <c r="B143" t="inlineStr">
        <is>
          <t>Change in prepaid expenses and other assets</t>
        </is>
      </c>
      <c r="C143" t="inlineStr">
        <is>
          <t>Cash flow</t>
        </is>
      </c>
      <c r="D143" t="inlineStr">
        <is>
          <t>H1_2026</t>
        </is>
      </c>
      <c r="E143" s="4" t="n">
        <v>-1028</v>
      </c>
      <c r="F143" t="inlineStr">
        <is>
          <t>USD m</t>
        </is>
      </c>
      <c r="G143" t="inlineStr">
        <is>
          <t>10-Q - Q2 2026 (quarter ended 2026-06-30)</t>
        </is>
      </c>
      <c r="H143" t="inlineStr">
        <is>
          <t>0001628280-26-049270</t>
        </is>
      </c>
      <c r="I143" t="inlineStr">
        <is>
          <t>Part I Item 1, Consolidated Statements of Cash Flows (six months), p.8-9</t>
        </is>
      </c>
      <c r="J143" t="inlineStr">
        <is>
          <t>Quarterly report (10-Q)</t>
        </is>
      </c>
      <c r="K143" t="inlineStr">
        <is>
          <t>not XBRL-tagged (read from filing text)</t>
        </is>
      </c>
      <c r="L143" t="inlineStr"/>
      <c r="M143" t="inlineStr">
        <is>
          <t>https://www.sec.gov/Archives/edgar/data/1318605/000162828026049270/tsla-20260630.htm</t>
        </is>
      </c>
    </row>
    <row r="144">
      <c r="A144" t="inlineStr">
        <is>
          <t>cf_chg_ap_accr</t>
        </is>
      </c>
      <c r="B144" t="inlineStr">
        <is>
          <t>Change in AP, accrued and other liabilities</t>
        </is>
      </c>
      <c r="C144" t="inlineStr">
        <is>
          <t>Cash flow</t>
        </is>
      </c>
      <c r="D144" t="inlineStr">
        <is>
          <t>FY2023</t>
        </is>
      </c>
      <c r="E144" s="4" t="n">
        <v>2605</v>
      </c>
      <c r="F144" t="inlineStr">
        <is>
          <t>USD m</t>
        </is>
      </c>
      <c r="G144" t="inlineStr">
        <is>
          <t>10-K - FY2025 (year ended 2025-12-31)</t>
        </is>
      </c>
      <c r="H144" t="inlineStr">
        <is>
          <t>0001628280-26-003952</t>
        </is>
      </c>
      <c r="I144" t="inlineStr">
        <is>
          <t>Part II Item 8, Consolidated Statements of Cash Flows, p.53</t>
        </is>
      </c>
      <c r="J144" t="inlineStr">
        <is>
          <t>Annual report (10-K)</t>
        </is>
      </c>
      <c r="K144" t="inlineStr">
        <is>
          <t>not XBRL-tagged (read from filing text)</t>
        </is>
      </c>
      <c r="L144" t="inlineStr"/>
      <c r="M144" t="inlineStr">
        <is>
          <t>https://www.sec.gov/Archives/edgar/data/1318605/000162828026003952/tsla-20251231.htm</t>
        </is>
      </c>
    </row>
    <row r="145">
      <c r="A145" t="inlineStr">
        <is>
          <t>cf_chg_ap_accr</t>
        </is>
      </c>
      <c r="B145" t="inlineStr">
        <is>
          <t>Change in AP, accrued and other liabilities</t>
        </is>
      </c>
      <c r="C145" t="inlineStr">
        <is>
          <t>Cash flow</t>
        </is>
      </c>
      <c r="D145" t="inlineStr">
        <is>
          <t>FY2024</t>
        </is>
      </c>
      <c r="E145" s="4" t="n">
        <v>3588</v>
      </c>
      <c r="F145" t="inlineStr">
        <is>
          <t>USD m</t>
        </is>
      </c>
      <c r="G145" t="inlineStr">
        <is>
          <t>10-K - FY2025 (year ended 2025-12-31)</t>
        </is>
      </c>
      <c r="H145" t="inlineStr">
        <is>
          <t>0001628280-26-003952</t>
        </is>
      </c>
      <c r="I145" t="inlineStr">
        <is>
          <t>Part II Item 8, Consolidated Statements of Cash Flows, p.53</t>
        </is>
      </c>
      <c r="J145" t="inlineStr">
        <is>
          <t>Annual report (10-K)</t>
        </is>
      </c>
      <c r="K145" t="inlineStr">
        <is>
          <t>not XBRL-tagged (read from filing text)</t>
        </is>
      </c>
      <c r="L145" t="inlineStr"/>
      <c r="M145" t="inlineStr">
        <is>
          <t>https://www.sec.gov/Archives/edgar/data/1318605/000162828026003952/tsla-20251231.htm</t>
        </is>
      </c>
    </row>
    <row r="146">
      <c r="A146" t="inlineStr">
        <is>
          <t>cf_chg_ap_accr</t>
        </is>
      </c>
      <c r="B146" t="inlineStr">
        <is>
          <t>Change in AP, accrued and other liabilities</t>
        </is>
      </c>
      <c r="C146" t="inlineStr">
        <is>
          <t>Cash flow</t>
        </is>
      </c>
      <c r="D146" t="inlineStr">
        <is>
          <t>FY2025</t>
        </is>
      </c>
      <c r="E146" s="4" t="n">
        <v>4376</v>
      </c>
      <c r="F146" t="inlineStr">
        <is>
          <t>USD m</t>
        </is>
      </c>
      <c r="G146" t="inlineStr">
        <is>
          <t>10-K - FY2025 (year ended 2025-12-31)</t>
        </is>
      </c>
      <c r="H146" t="inlineStr">
        <is>
          <t>0001628280-26-003952</t>
        </is>
      </c>
      <c r="I146" t="inlineStr">
        <is>
          <t>Part II Item 8, Consolidated Statements of Cash Flows, p.53</t>
        </is>
      </c>
      <c r="J146" t="inlineStr">
        <is>
          <t>Annual report (10-K)</t>
        </is>
      </c>
      <c r="K146" t="inlineStr">
        <is>
          <t>not XBRL-tagged (read from filing text)</t>
        </is>
      </c>
      <c r="L146" t="inlineStr"/>
      <c r="M146" t="inlineStr">
        <is>
          <t>https://www.sec.gov/Archives/edgar/data/1318605/000162828026003952/tsla-20251231.htm</t>
        </is>
      </c>
    </row>
    <row r="147">
      <c r="A147" t="inlineStr">
        <is>
          <t>cf_chg_ap_accr</t>
        </is>
      </c>
      <c r="B147" t="inlineStr">
        <is>
          <t>Change in AP, accrued and other liabilities</t>
        </is>
      </c>
      <c r="C147" t="inlineStr">
        <is>
          <t>Cash flow</t>
        </is>
      </c>
      <c r="D147" t="inlineStr">
        <is>
          <t>H1_2026</t>
        </is>
      </c>
      <c r="E147" s="4" t="n">
        <v>3341</v>
      </c>
      <c r="F147" t="inlineStr">
        <is>
          <t>USD m</t>
        </is>
      </c>
      <c r="G147" t="inlineStr">
        <is>
          <t>10-Q - Q2 2026 (quarter ended 2026-06-30)</t>
        </is>
      </c>
      <c r="H147" t="inlineStr">
        <is>
          <t>0001628280-26-049270</t>
        </is>
      </c>
      <c r="I147" t="inlineStr">
        <is>
          <t>Part I Item 1, Consolidated Statements of Cash Flows (six months), p.8-9</t>
        </is>
      </c>
      <c r="J147" t="inlineStr">
        <is>
          <t>Quarterly report (10-Q)</t>
        </is>
      </c>
      <c r="K147" t="inlineStr">
        <is>
          <t>not XBRL-tagged (read from filing text)</t>
        </is>
      </c>
      <c r="L147" t="inlineStr"/>
      <c r="M147" t="inlineStr">
        <is>
          <t>https://www.sec.gov/Archives/edgar/data/1318605/000162828026049270/tsla-20260630.htm</t>
        </is>
      </c>
    </row>
    <row r="148">
      <c r="A148" t="inlineStr">
        <is>
          <t>cf_chg_defrev</t>
        </is>
      </c>
      <c r="B148" t="inlineStr">
        <is>
          <t>Change in deferred revenue</t>
        </is>
      </c>
      <c r="C148" t="inlineStr">
        <is>
          <t>Cash flow</t>
        </is>
      </c>
      <c r="D148" t="inlineStr">
        <is>
          <t>FY2023</t>
        </is>
      </c>
      <c r="E148" s="4" t="n">
        <v>1532</v>
      </c>
      <c r="F148" t="inlineStr">
        <is>
          <t>USD m</t>
        </is>
      </c>
      <c r="G148" t="inlineStr">
        <is>
          <t>10-K - FY2025 (year ended 2025-12-31)</t>
        </is>
      </c>
      <c r="H148" t="inlineStr">
        <is>
          <t>0001628280-26-003952</t>
        </is>
      </c>
      <c r="I148" t="inlineStr">
        <is>
          <t>Part II Item 8, Consolidated Statements of Cash Flows, p.53</t>
        </is>
      </c>
      <c r="J148" t="inlineStr">
        <is>
          <t>Annual report (10-K)</t>
        </is>
      </c>
      <c r="K148" t="inlineStr">
        <is>
          <t>not XBRL-tagged (read from filing text)</t>
        </is>
      </c>
      <c r="L148" t="inlineStr"/>
      <c r="M148" t="inlineStr">
        <is>
          <t>https://www.sec.gov/Archives/edgar/data/1318605/000162828026003952/tsla-20251231.htm</t>
        </is>
      </c>
    </row>
    <row r="149">
      <c r="A149" t="inlineStr">
        <is>
          <t>cf_chg_defrev</t>
        </is>
      </c>
      <c r="B149" t="inlineStr">
        <is>
          <t>Change in deferred revenue</t>
        </is>
      </c>
      <c r="C149" t="inlineStr">
        <is>
          <t>Cash flow</t>
        </is>
      </c>
      <c r="D149" t="inlineStr">
        <is>
          <t>FY2024</t>
        </is>
      </c>
      <c r="E149" s="4" t="n">
        <v>502</v>
      </c>
      <c r="F149" t="inlineStr">
        <is>
          <t>USD m</t>
        </is>
      </c>
      <c r="G149" t="inlineStr">
        <is>
          <t>10-K - FY2025 (year ended 2025-12-31)</t>
        </is>
      </c>
      <c r="H149" t="inlineStr">
        <is>
          <t>0001628280-26-003952</t>
        </is>
      </c>
      <c r="I149" t="inlineStr">
        <is>
          <t>Part II Item 8, Consolidated Statements of Cash Flows, p.53</t>
        </is>
      </c>
      <c r="J149" t="inlineStr">
        <is>
          <t>Annual report (10-K)</t>
        </is>
      </c>
      <c r="K149" t="inlineStr">
        <is>
          <t>not XBRL-tagged (read from filing text)</t>
        </is>
      </c>
      <c r="L149" t="inlineStr"/>
      <c r="M149" t="inlineStr">
        <is>
          <t>https://www.sec.gov/Archives/edgar/data/1318605/000162828026003952/tsla-20251231.htm</t>
        </is>
      </c>
    </row>
    <row r="150">
      <c r="A150" t="inlineStr">
        <is>
          <t>cf_chg_defrev</t>
        </is>
      </c>
      <c r="B150" t="inlineStr">
        <is>
          <t>Change in deferred revenue</t>
        </is>
      </c>
      <c r="C150" t="inlineStr">
        <is>
          <t>Cash flow</t>
        </is>
      </c>
      <c r="D150" t="inlineStr">
        <is>
          <t>FY2025</t>
        </is>
      </c>
      <c r="E150" s="4" t="n">
        <v>363</v>
      </c>
      <c r="F150" t="inlineStr">
        <is>
          <t>USD m</t>
        </is>
      </c>
      <c r="G150" t="inlineStr">
        <is>
          <t>10-K - FY2025 (year ended 2025-12-31)</t>
        </is>
      </c>
      <c r="H150" t="inlineStr">
        <is>
          <t>0001628280-26-003952</t>
        </is>
      </c>
      <c r="I150" t="inlineStr">
        <is>
          <t>Part II Item 8, Consolidated Statements of Cash Flows, p.53</t>
        </is>
      </c>
      <c r="J150" t="inlineStr">
        <is>
          <t>Annual report (10-K)</t>
        </is>
      </c>
      <c r="K150" t="inlineStr">
        <is>
          <t>not XBRL-tagged (read from filing text)</t>
        </is>
      </c>
      <c r="L150" t="inlineStr"/>
      <c r="M150" t="inlineStr">
        <is>
          <t>https://www.sec.gov/Archives/edgar/data/1318605/000162828026003952/tsla-20251231.htm</t>
        </is>
      </c>
    </row>
    <row r="151">
      <c r="A151" t="inlineStr">
        <is>
          <t>cf_chg_defrev</t>
        </is>
      </c>
      <c r="B151" t="inlineStr">
        <is>
          <t>Change in deferred revenue</t>
        </is>
      </c>
      <c r="C151" t="inlineStr">
        <is>
          <t>Cash flow</t>
        </is>
      </c>
      <c r="D151" t="inlineStr">
        <is>
          <t>H1_2026</t>
        </is>
      </c>
      <c r="E151" s="4" t="n">
        <v>491</v>
      </c>
      <c r="F151" t="inlineStr">
        <is>
          <t>USD m</t>
        </is>
      </c>
      <c r="G151" t="inlineStr">
        <is>
          <t>10-Q - Q2 2026 (quarter ended 2026-06-30)</t>
        </is>
      </c>
      <c r="H151" t="inlineStr">
        <is>
          <t>0001628280-26-049270</t>
        </is>
      </c>
      <c r="I151" t="inlineStr">
        <is>
          <t>Part I Item 1, Consolidated Statements of Cash Flows (six months), p.8-9</t>
        </is>
      </c>
      <c r="J151" t="inlineStr">
        <is>
          <t>Quarterly report (10-Q)</t>
        </is>
      </c>
      <c r="K151" t="inlineStr">
        <is>
          <t>not XBRL-tagged (read from filing text)</t>
        </is>
      </c>
      <c r="L151" t="inlineStr"/>
      <c r="M151" t="inlineStr">
        <is>
          <t>https://www.sec.gov/Archives/edgar/data/1318605/000162828026049270/tsla-20260630.htm</t>
        </is>
      </c>
    </row>
    <row r="152">
      <c r="A152" t="inlineStr">
        <is>
          <t>cfo</t>
        </is>
      </c>
      <c r="B152" t="inlineStr">
        <is>
          <t>Net cash provided by operating activities</t>
        </is>
      </c>
      <c r="C152" t="inlineStr">
        <is>
          <t>Cash flow</t>
        </is>
      </c>
      <c r="D152" t="inlineStr">
        <is>
          <t>FY2023</t>
        </is>
      </c>
      <c r="E152" s="4" t="n">
        <v>13256</v>
      </c>
      <c r="F152" t="inlineStr">
        <is>
          <t>USD m</t>
        </is>
      </c>
      <c r="G152" t="inlineStr">
        <is>
          <t>10-K - FY2025 (year ended 2025-12-31)</t>
        </is>
      </c>
      <c r="H152" t="inlineStr">
        <is>
          <t>0001628280-26-003952</t>
        </is>
      </c>
      <c r="I152" t="inlineStr">
        <is>
          <t>Part II Item 8, Consolidated Statements of Cash Flows, p.53</t>
        </is>
      </c>
      <c r="J152" t="inlineStr">
        <is>
          <t>Annual report (10-K)</t>
        </is>
      </c>
      <c r="K152" t="inlineStr">
        <is>
          <t>not XBRL-tagged (read from filing text)</t>
        </is>
      </c>
      <c r="L152" t="inlineStr"/>
      <c r="M152" t="inlineStr">
        <is>
          <t>https://www.sec.gov/Archives/edgar/data/1318605/000162828026003952/tsla-20251231.htm</t>
        </is>
      </c>
    </row>
    <row r="153">
      <c r="A153" t="inlineStr">
        <is>
          <t>cfo</t>
        </is>
      </c>
      <c r="B153" t="inlineStr">
        <is>
          <t>Net cash provided by operating activities</t>
        </is>
      </c>
      <c r="C153" t="inlineStr">
        <is>
          <t>Cash flow</t>
        </is>
      </c>
      <c r="D153" t="inlineStr">
        <is>
          <t>FY2024</t>
        </is>
      </c>
      <c r="E153" s="4" t="n">
        <v>14923</v>
      </c>
      <c r="F153" t="inlineStr">
        <is>
          <t>USD m</t>
        </is>
      </c>
      <c r="G153" t="inlineStr">
        <is>
          <t>10-K - FY2025 (year ended 2025-12-31)</t>
        </is>
      </c>
      <c r="H153" t="inlineStr">
        <is>
          <t>0001628280-26-003952</t>
        </is>
      </c>
      <c r="I153" t="inlineStr">
        <is>
          <t>Part II Item 8, Consolidated Statements of Cash Flows, p.53</t>
        </is>
      </c>
      <c r="J153" t="inlineStr">
        <is>
          <t>Annual report (10-K)</t>
        </is>
      </c>
      <c r="K153" t="inlineStr">
        <is>
          <t>not XBRL-tagged (read from filing text)</t>
        </is>
      </c>
      <c r="L153" t="inlineStr"/>
      <c r="M153" t="inlineStr">
        <is>
          <t>https://www.sec.gov/Archives/edgar/data/1318605/000162828026003952/tsla-20251231.htm</t>
        </is>
      </c>
    </row>
    <row r="154">
      <c r="A154" t="inlineStr">
        <is>
          <t>cfo</t>
        </is>
      </c>
      <c r="B154" t="inlineStr">
        <is>
          <t>Net cash provided by operating activities</t>
        </is>
      </c>
      <c r="C154" t="inlineStr">
        <is>
          <t>Cash flow</t>
        </is>
      </c>
      <c r="D154" t="inlineStr">
        <is>
          <t>FY2025</t>
        </is>
      </c>
      <c r="E154" s="4" t="n">
        <v>14747</v>
      </c>
      <c r="F154" t="inlineStr">
        <is>
          <t>USD m</t>
        </is>
      </c>
      <c r="G154" t="inlineStr">
        <is>
          <t>10-K - FY2025 (year ended 2025-12-31)</t>
        </is>
      </c>
      <c r="H154" t="inlineStr">
        <is>
          <t>0001628280-26-003952</t>
        </is>
      </c>
      <c r="I154" t="inlineStr">
        <is>
          <t>Part II Item 8, Consolidated Statements of Cash Flows, p.53</t>
        </is>
      </c>
      <c r="J154" t="inlineStr">
        <is>
          <t>Annual report (10-K)</t>
        </is>
      </c>
      <c r="K154" t="inlineStr">
        <is>
          <t>not XBRL-tagged (read from filing text)</t>
        </is>
      </c>
      <c r="L154" t="inlineStr"/>
      <c r="M154" t="inlineStr">
        <is>
          <t>https://www.sec.gov/Archives/edgar/data/1318605/000162828026003952/tsla-20251231.htm</t>
        </is>
      </c>
    </row>
    <row r="155">
      <c r="A155" t="inlineStr">
        <is>
          <t>cfo</t>
        </is>
      </c>
      <c r="B155" t="inlineStr">
        <is>
          <t>Net cash provided by operating activities</t>
        </is>
      </c>
      <c r="C155" t="inlineStr">
        <is>
          <t>Cash flow</t>
        </is>
      </c>
      <c r="D155" t="inlineStr">
        <is>
          <t>H1_2026</t>
        </is>
      </c>
      <c r="E155" s="4" t="n">
        <v>8634</v>
      </c>
      <c r="F155" t="inlineStr">
        <is>
          <t>USD m</t>
        </is>
      </c>
      <c r="G155" t="inlineStr">
        <is>
          <t>10-Q - Q2 2026 (quarter ended 2026-06-30)</t>
        </is>
      </c>
      <c r="H155" t="inlineStr">
        <is>
          <t>0001628280-26-049270</t>
        </is>
      </c>
      <c r="I155" t="inlineStr">
        <is>
          <t>Part I Item 1, Consolidated Statements of Cash Flows (six months), p.8-9</t>
        </is>
      </c>
      <c r="J155" t="inlineStr">
        <is>
          <t>Quarterly report (10-Q)</t>
        </is>
      </c>
      <c r="K155" t="inlineStr">
        <is>
          <t>not XBRL-tagged (read from filing text)</t>
        </is>
      </c>
      <c r="L155" t="inlineStr"/>
      <c r="M155" t="inlineStr">
        <is>
          <t>https://www.sec.gov/Archives/edgar/data/1318605/000162828026049270/tsla-20260630.htm</t>
        </is>
      </c>
    </row>
    <row r="156">
      <c r="A156" t="inlineStr">
        <is>
          <t>capex</t>
        </is>
      </c>
      <c r="B156" t="inlineStr">
        <is>
          <t>Purchases of property and equipment (capex)</t>
        </is>
      </c>
      <c r="C156" t="inlineStr">
        <is>
          <t>Cash flow</t>
        </is>
      </c>
      <c r="D156" t="inlineStr">
        <is>
          <t>FY2023</t>
        </is>
      </c>
      <c r="E156" s="4" t="n">
        <v>8899</v>
      </c>
      <c r="F156" t="inlineStr">
        <is>
          <t>USD m</t>
        </is>
      </c>
      <c r="G156" t="inlineStr">
        <is>
          <t>10-K - FY2025 (year ended 2025-12-31)</t>
        </is>
      </c>
      <c r="H156" t="inlineStr">
        <is>
          <t>0001628280-26-003952</t>
        </is>
      </c>
      <c r="I156" t="inlineStr">
        <is>
          <t>Part II Item 8, Consolidated Statements of Cash Flows, p.53</t>
        </is>
      </c>
      <c r="J156" t="inlineStr">
        <is>
          <t>Annual report (10-K)</t>
        </is>
      </c>
      <c r="K156" t="inlineStr">
        <is>
          <t>not XBRL-tagged (read from filing text)</t>
        </is>
      </c>
      <c r="L156" t="inlineStr"/>
      <c r="M156" t="inlineStr">
        <is>
          <t>https://www.sec.gov/Archives/edgar/data/1318605/000162828026003952/tsla-20251231.htm</t>
        </is>
      </c>
    </row>
    <row r="157">
      <c r="A157" t="inlineStr">
        <is>
          <t>capex</t>
        </is>
      </c>
      <c r="B157" t="inlineStr">
        <is>
          <t>Purchases of property and equipment (capex)</t>
        </is>
      </c>
      <c r="C157" t="inlineStr">
        <is>
          <t>Cash flow</t>
        </is>
      </c>
      <c r="D157" t="inlineStr">
        <is>
          <t>FY2024</t>
        </is>
      </c>
      <c r="E157" s="4" t="n">
        <v>11342</v>
      </c>
      <c r="F157" t="inlineStr">
        <is>
          <t>USD m</t>
        </is>
      </c>
      <c r="G157" t="inlineStr">
        <is>
          <t>10-K - FY2025 (year ended 2025-12-31)</t>
        </is>
      </c>
      <c r="H157" t="inlineStr">
        <is>
          <t>0001628280-26-003952</t>
        </is>
      </c>
      <c r="I157" t="inlineStr">
        <is>
          <t>Part II Item 8, Consolidated Statements of Cash Flows, p.53</t>
        </is>
      </c>
      <c r="J157" t="inlineStr">
        <is>
          <t>Annual report (10-K)</t>
        </is>
      </c>
      <c r="K157" t="inlineStr">
        <is>
          <t>not XBRL-tagged (read from filing text)</t>
        </is>
      </c>
      <c r="L157" t="inlineStr"/>
      <c r="M157" t="inlineStr">
        <is>
          <t>https://www.sec.gov/Archives/edgar/data/1318605/000162828026003952/tsla-20251231.htm</t>
        </is>
      </c>
    </row>
    <row r="158">
      <c r="A158" t="inlineStr">
        <is>
          <t>capex</t>
        </is>
      </c>
      <c r="B158" t="inlineStr">
        <is>
          <t>Purchases of property and equipment (capex)</t>
        </is>
      </c>
      <c r="C158" t="inlineStr">
        <is>
          <t>Cash flow</t>
        </is>
      </c>
      <c r="D158" t="inlineStr">
        <is>
          <t>FY2025</t>
        </is>
      </c>
      <c r="E158" s="4" t="n">
        <v>8527</v>
      </c>
      <c r="F158" t="inlineStr">
        <is>
          <t>USD m</t>
        </is>
      </c>
      <c r="G158" t="inlineStr">
        <is>
          <t>10-K - FY2025 (year ended 2025-12-31)</t>
        </is>
      </c>
      <c r="H158" t="inlineStr">
        <is>
          <t>0001628280-26-003952</t>
        </is>
      </c>
      <c r="I158" t="inlineStr">
        <is>
          <t>Part II Item 8, Consolidated Statements of Cash Flows, p.53</t>
        </is>
      </c>
      <c r="J158" t="inlineStr">
        <is>
          <t>Annual report (10-K)</t>
        </is>
      </c>
      <c r="K158" t="inlineStr">
        <is>
          <t>not XBRL-tagged (read from filing text)</t>
        </is>
      </c>
      <c r="L158" t="inlineStr"/>
      <c r="M158" t="inlineStr">
        <is>
          <t>https://www.sec.gov/Archives/edgar/data/1318605/000162828026003952/tsla-20251231.htm</t>
        </is>
      </c>
    </row>
    <row r="159">
      <c r="A159" t="inlineStr">
        <is>
          <t>capex</t>
        </is>
      </c>
      <c r="B159" t="inlineStr">
        <is>
          <t>Purchases of property and equipment (capex)</t>
        </is>
      </c>
      <c r="C159" t="inlineStr">
        <is>
          <t>Cash flow</t>
        </is>
      </c>
      <c r="D159" t="inlineStr">
        <is>
          <t>H1_2026</t>
        </is>
      </c>
      <c r="E159" s="4" t="n">
        <v>8282</v>
      </c>
      <c r="F159" t="inlineStr">
        <is>
          <t>USD m</t>
        </is>
      </c>
      <c r="G159" t="inlineStr">
        <is>
          <t>10-Q - Q2 2026 (quarter ended 2026-06-30)</t>
        </is>
      </c>
      <c r="H159" t="inlineStr">
        <is>
          <t>0001628280-26-049270</t>
        </is>
      </c>
      <c r="I159" t="inlineStr">
        <is>
          <t>Part I Item 1, Consolidated Statements of Cash Flows (six months), p.8-9</t>
        </is>
      </c>
      <c r="J159" t="inlineStr">
        <is>
          <t>Quarterly report (10-Q)</t>
        </is>
      </c>
      <c r="K159" t="inlineStr">
        <is>
          <t>not XBRL-tagged (read from filing text)</t>
        </is>
      </c>
      <c r="L159" t="inlineStr"/>
      <c r="M159" t="inlineStr">
        <is>
          <t>https://www.sec.gov/Archives/edgar/data/1318605/000162828026049270/tsla-20260630.htm</t>
        </is>
      </c>
    </row>
    <row r="160">
      <c r="A160" t="inlineStr">
        <is>
          <t>strategic_investment</t>
        </is>
      </c>
      <c r="B160" t="inlineStr">
        <is>
          <t>Purchase of SpaceX equity investment</t>
        </is>
      </c>
      <c r="C160" t="inlineStr">
        <is>
          <t>Cash flow</t>
        </is>
      </c>
      <c r="D160" t="inlineStr">
        <is>
          <t>FY2023</t>
        </is>
      </c>
      <c r="E160" s="4" t="n">
        <v>0</v>
      </c>
      <c r="F160" t="inlineStr">
        <is>
          <t>USD m</t>
        </is>
      </c>
      <c r="G160" t="inlineStr">
        <is>
          <t>10-K - FY2025 (year ended 2025-12-31)</t>
        </is>
      </c>
      <c r="H160" t="inlineStr">
        <is>
          <t>0001628280-26-003952</t>
        </is>
      </c>
      <c r="I160" t="inlineStr">
        <is>
          <t>Part II Item 8, Consolidated Statements of Cash Flows, p.53</t>
        </is>
      </c>
      <c r="J160" t="inlineStr">
        <is>
          <t>Annual report (10-K)</t>
        </is>
      </c>
      <c r="K160" t="inlineStr">
        <is>
          <t>not XBRL-tagged (read from filing text)</t>
        </is>
      </c>
      <c r="L160" t="inlineStr"/>
      <c r="M160" t="inlineStr">
        <is>
          <t>https://www.sec.gov/Archives/edgar/data/1318605/000162828026003952/tsla-20251231.htm</t>
        </is>
      </c>
    </row>
    <row r="161">
      <c r="A161" t="inlineStr">
        <is>
          <t>strategic_investment</t>
        </is>
      </c>
      <c r="B161" t="inlineStr">
        <is>
          <t>Purchase of SpaceX equity investment</t>
        </is>
      </c>
      <c r="C161" t="inlineStr">
        <is>
          <t>Cash flow</t>
        </is>
      </c>
      <c r="D161" t="inlineStr">
        <is>
          <t>FY2024</t>
        </is>
      </c>
      <c r="E161" s="4" t="n">
        <v>0</v>
      </c>
      <c r="F161" t="inlineStr">
        <is>
          <t>USD m</t>
        </is>
      </c>
      <c r="G161" t="inlineStr">
        <is>
          <t>10-K - FY2025 (year ended 2025-12-31)</t>
        </is>
      </c>
      <c r="H161" t="inlineStr">
        <is>
          <t>0001628280-26-003952</t>
        </is>
      </c>
      <c r="I161" t="inlineStr">
        <is>
          <t>Part II Item 8, Consolidated Statements of Cash Flows, p.53</t>
        </is>
      </c>
      <c r="J161" t="inlineStr">
        <is>
          <t>Annual report (10-K)</t>
        </is>
      </c>
      <c r="K161" t="inlineStr">
        <is>
          <t>not XBRL-tagged (read from filing text)</t>
        </is>
      </c>
      <c r="L161" t="inlineStr"/>
      <c r="M161" t="inlineStr">
        <is>
          <t>https://www.sec.gov/Archives/edgar/data/1318605/000162828026003952/tsla-20251231.htm</t>
        </is>
      </c>
    </row>
    <row r="162">
      <c r="A162" t="inlineStr">
        <is>
          <t>strategic_investment</t>
        </is>
      </c>
      <c r="B162" t="inlineStr">
        <is>
          <t>Purchase of SpaceX equity investment</t>
        </is>
      </c>
      <c r="C162" t="inlineStr">
        <is>
          <t>Cash flow</t>
        </is>
      </c>
      <c r="D162" t="inlineStr">
        <is>
          <t>FY2025</t>
        </is>
      </c>
      <c r="E162" s="4" t="n">
        <v>0</v>
      </c>
      <c r="F162" t="inlineStr">
        <is>
          <t>USD m</t>
        </is>
      </c>
      <c r="G162" t="inlineStr">
        <is>
          <t>10-K - FY2025 (year ended 2025-12-31)</t>
        </is>
      </c>
      <c r="H162" t="inlineStr">
        <is>
          <t>0001628280-26-003952</t>
        </is>
      </c>
      <c r="I162" t="inlineStr">
        <is>
          <t>Part II Item 8, Consolidated Statements of Cash Flows, p.53</t>
        </is>
      </c>
      <c r="J162" t="inlineStr">
        <is>
          <t>Annual report (10-K)</t>
        </is>
      </c>
      <c r="K162" t="inlineStr">
        <is>
          <t>not XBRL-tagged (read from filing text)</t>
        </is>
      </c>
      <c r="L162" t="inlineStr"/>
      <c r="M162" t="inlineStr">
        <is>
          <t>https://www.sec.gov/Archives/edgar/data/1318605/000162828026003952/tsla-20251231.htm</t>
        </is>
      </c>
    </row>
    <row r="163">
      <c r="A163" t="inlineStr">
        <is>
          <t>strategic_investment</t>
        </is>
      </c>
      <c r="B163" t="inlineStr">
        <is>
          <t>Purchase of SpaceX equity investment</t>
        </is>
      </c>
      <c r="C163" t="inlineStr">
        <is>
          <t>Cash flow</t>
        </is>
      </c>
      <c r="D163" t="inlineStr">
        <is>
          <t>H1_2026</t>
        </is>
      </c>
      <c r="E163" s="4" t="n">
        <v>2002</v>
      </c>
      <c r="F163" t="inlineStr">
        <is>
          <t>USD m</t>
        </is>
      </c>
      <c r="G163" t="inlineStr">
        <is>
          <t>10-Q - Q2 2026 (quarter ended 2026-06-30)</t>
        </is>
      </c>
      <c r="H163" t="inlineStr">
        <is>
          <t>0001628280-26-049270</t>
        </is>
      </c>
      <c r="I163" t="inlineStr">
        <is>
          <t>Part I Item 1, Consolidated Statements of Cash Flows (six months), p.8-9</t>
        </is>
      </c>
      <c r="J163" t="inlineStr">
        <is>
          <t>Quarterly report (10-Q)</t>
        </is>
      </c>
      <c r="K163" t="inlineStr">
        <is>
          <t>not XBRL-tagged (read from filing text)</t>
        </is>
      </c>
      <c r="L163" t="inlineStr"/>
      <c r="M163" t="inlineStr">
        <is>
          <t>https://www.sec.gov/Archives/edgar/data/1318605/000162828026049270/tsla-20260630.htm</t>
        </is>
      </c>
    </row>
    <row r="164">
      <c r="A164" t="inlineStr">
        <is>
          <t>cfi</t>
        </is>
      </c>
      <c r="B164" t="inlineStr">
        <is>
          <t>Net cash used in investing activities</t>
        </is>
      </c>
      <c r="C164" t="inlineStr">
        <is>
          <t>Cash flow</t>
        </is>
      </c>
      <c r="D164" t="inlineStr">
        <is>
          <t>FY2023</t>
        </is>
      </c>
      <c r="E164" s="4" t="n">
        <v>-15584</v>
      </c>
      <c r="F164" t="inlineStr">
        <is>
          <t>USD m</t>
        </is>
      </c>
      <c r="G164" t="inlineStr">
        <is>
          <t>10-K - FY2025 (year ended 2025-12-31)</t>
        </is>
      </c>
      <c r="H164" t="inlineStr">
        <is>
          <t>0001628280-26-003952</t>
        </is>
      </c>
      <c r="I164" t="inlineStr">
        <is>
          <t>Part II Item 8, Consolidated Statements of Cash Flows, p.53</t>
        </is>
      </c>
      <c r="J164" t="inlineStr">
        <is>
          <t>Annual report (10-K)</t>
        </is>
      </c>
      <c r="K164" t="inlineStr">
        <is>
          <t>not XBRL-tagged (read from filing text)</t>
        </is>
      </c>
      <c r="L164" t="inlineStr"/>
      <c r="M164" t="inlineStr">
        <is>
          <t>https://www.sec.gov/Archives/edgar/data/1318605/000162828026003952/tsla-20251231.htm</t>
        </is>
      </c>
    </row>
    <row r="165">
      <c r="A165" t="inlineStr">
        <is>
          <t>cfi</t>
        </is>
      </c>
      <c r="B165" t="inlineStr">
        <is>
          <t>Net cash used in investing activities</t>
        </is>
      </c>
      <c r="C165" t="inlineStr">
        <is>
          <t>Cash flow</t>
        </is>
      </c>
      <c r="D165" t="inlineStr">
        <is>
          <t>FY2024</t>
        </is>
      </c>
      <c r="E165" s="4" t="n">
        <v>-18787</v>
      </c>
      <c r="F165" t="inlineStr">
        <is>
          <t>USD m</t>
        </is>
      </c>
      <c r="G165" t="inlineStr">
        <is>
          <t>10-K - FY2025 (year ended 2025-12-31)</t>
        </is>
      </c>
      <c r="H165" t="inlineStr">
        <is>
          <t>0001628280-26-003952</t>
        </is>
      </c>
      <c r="I165" t="inlineStr">
        <is>
          <t>Part II Item 8, Consolidated Statements of Cash Flows, p.53</t>
        </is>
      </c>
      <c r="J165" t="inlineStr">
        <is>
          <t>Annual report (10-K)</t>
        </is>
      </c>
      <c r="K165" t="inlineStr">
        <is>
          <t>not XBRL-tagged (read from filing text)</t>
        </is>
      </c>
      <c r="L165" t="inlineStr"/>
      <c r="M165" t="inlineStr">
        <is>
          <t>https://www.sec.gov/Archives/edgar/data/1318605/000162828026003952/tsla-20251231.htm</t>
        </is>
      </c>
    </row>
    <row r="166">
      <c r="A166" t="inlineStr">
        <is>
          <t>cfi</t>
        </is>
      </c>
      <c r="B166" t="inlineStr">
        <is>
          <t>Net cash used in investing activities</t>
        </is>
      </c>
      <c r="C166" t="inlineStr">
        <is>
          <t>Cash flow</t>
        </is>
      </c>
      <c r="D166" t="inlineStr">
        <is>
          <t>FY2025</t>
        </is>
      </c>
      <c r="E166" s="4" t="n">
        <v>-15478</v>
      </c>
      <c r="F166" t="inlineStr">
        <is>
          <t>USD m</t>
        </is>
      </c>
      <c r="G166" t="inlineStr">
        <is>
          <t>10-K - FY2025 (year ended 2025-12-31)</t>
        </is>
      </c>
      <c r="H166" t="inlineStr">
        <is>
          <t>0001628280-26-003952</t>
        </is>
      </c>
      <c r="I166" t="inlineStr">
        <is>
          <t>Part II Item 8, Consolidated Statements of Cash Flows, p.53</t>
        </is>
      </c>
      <c r="J166" t="inlineStr">
        <is>
          <t>Annual report (10-K)</t>
        </is>
      </c>
      <c r="K166" t="inlineStr">
        <is>
          <t>not XBRL-tagged (read from filing text)</t>
        </is>
      </c>
      <c r="L166" t="inlineStr"/>
      <c r="M166" t="inlineStr">
        <is>
          <t>https://www.sec.gov/Archives/edgar/data/1318605/000162828026003952/tsla-20251231.htm</t>
        </is>
      </c>
    </row>
    <row r="167">
      <c r="A167" t="inlineStr">
        <is>
          <t>cfi</t>
        </is>
      </c>
      <c r="B167" t="inlineStr">
        <is>
          <t>Net cash used in investing activities</t>
        </is>
      </c>
      <c r="C167" t="inlineStr">
        <is>
          <t>Cash flow</t>
        </is>
      </c>
      <c r="D167" t="inlineStr">
        <is>
          <t>H1_2026</t>
        </is>
      </c>
      <c r="E167" s="4" t="n">
        <v>-10951</v>
      </c>
      <c r="F167" t="inlineStr">
        <is>
          <t>USD m</t>
        </is>
      </c>
      <c r="G167" t="inlineStr">
        <is>
          <t>10-Q - Q2 2026 (quarter ended 2026-06-30)</t>
        </is>
      </c>
      <c r="H167" t="inlineStr">
        <is>
          <t>0001628280-26-049270</t>
        </is>
      </c>
      <c r="I167" t="inlineStr">
        <is>
          <t>Part I Item 1, Consolidated Statements of Cash Flows (six months), p.8-9</t>
        </is>
      </c>
      <c r="J167" t="inlineStr">
        <is>
          <t>Quarterly report (10-Q)</t>
        </is>
      </c>
      <c r="K167" t="inlineStr">
        <is>
          <t>not XBRL-tagged (read from filing text)</t>
        </is>
      </c>
      <c r="L167" t="inlineStr"/>
      <c r="M167" t="inlineStr">
        <is>
          <t>https://www.sec.gov/Archives/edgar/data/1318605/000162828026049270/tsla-20260630.htm</t>
        </is>
      </c>
    </row>
    <row r="168">
      <c r="A168" t="inlineStr">
        <is>
          <t>debt_issued</t>
        </is>
      </c>
      <c r="B168" t="inlineStr">
        <is>
          <t>Proceeds from issuances of debt</t>
        </is>
      </c>
      <c r="C168" t="inlineStr">
        <is>
          <t>Cash flow</t>
        </is>
      </c>
      <c r="D168" t="inlineStr">
        <is>
          <t>FY2023</t>
        </is>
      </c>
      <c r="E168" s="4" t="n">
        <v>3931</v>
      </c>
      <c r="F168" t="inlineStr">
        <is>
          <t>USD m</t>
        </is>
      </c>
      <c r="G168" t="inlineStr">
        <is>
          <t>10-K - FY2025 (year ended 2025-12-31)</t>
        </is>
      </c>
      <c r="H168" t="inlineStr">
        <is>
          <t>0001628280-26-003952</t>
        </is>
      </c>
      <c r="I168" t="inlineStr">
        <is>
          <t>Part II Item 8, Consolidated Statements of Cash Flows, p.53</t>
        </is>
      </c>
      <c r="J168" t="inlineStr">
        <is>
          <t>Annual report (10-K)</t>
        </is>
      </c>
      <c r="K168" t="inlineStr">
        <is>
          <t>not XBRL-tagged (read from filing text)</t>
        </is>
      </c>
      <c r="L168" t="inlineStr"/>
      <c r="M168" t="inlineStr">
        <is>
          <t>https://www.sec.gov/Archives/edgar/data/1318605/000162828026003952/tsla-20251231.htm</t>
        </is>
      </c>
    </row>
    <row r="169">
      <c r="A169" t="inlineStr">
        <is>
          <t>debt_issued</t>
        </is>
      </c>
      <c r="B169" t="inlineStr">
        <is>
          <t>Proceeds from issuances of debt</t>
        </is>
      </c>
      <c r="C169" t="inlineStr">
        <is>
          <t>Cash flow</t>
        </is>
      </c>
      <c r="D169" t="inlineStr">
        <is>
          <t>FY2024</t>
        </is>
      </c>
      <c r="E169" s="4" t="n">
        <v>5744</v>
      </c>
      <c r="F169" t="inlineStr">
        <is>
          <t>USD m</t>
        </is>
      </c>
      <c r="G169" t="inlineStr">
        <is>
          <t>10-K - FY2025 (year ended 2025-12-31)</t>
        </is>
      </c>
      <c r="H169" t="inlineStr">
        <is>
          <t>0001628280-26-003952</t>
        </is>
      </c>
      <c r="I169" t="inlineStr">
        <is>
          <t>Part II Item 8, Consolidated Statements of Cash Flows, p.53</t>
        </is>
      </c>
      <c r="J169" t="inlineStr">
        <is>
          <t>Annual report (10-K)</t>
        </is>
      </c>
      <c r="K169" t="inlineStr">
        <is>
          <t>not XBRL-tagged (read from filing text)</t>
        </is>
      </c>
      <c r="L169" t="inlineStr"/>
      <c r="M169" t="inlineStr">
        <is>
          <t>https://www.sec.gov/Archives/edgar/data/1318605/000162828026003952/tsla-20251231.htm</t>
        </is>
      </c>
    </row>
    <row r="170">
      <c r="A170" t="inlineStr">
        <is>
          <t>debt_issued</t>
        </is>
      </c>
      <c r="B170" t="inlineStr">
        <is>
          <t>Proceeds from issuances of debt</t>
        </is>
      </c>
      <c r="C170" t="inlineStr">
        <is>
          <t>Cash flow</t>
        </is>
      </c>
      <c r="D170" t="inlineStr">
        <is>
          <t>FY2025</t>
        </is>
      </c>
      <c r="E170" s="4" t="n">
        <v>5586</v>
      </c>
      <c r="F170" t="inlineStr">
        <is>
          <t>USD m</t>
        </is>
      </c>
      <c r="G170" t="inlineStr">
        <is>
          <t>10-K - FY2025 (year ended 2025-12-31)</t>
        </is>
      </c>
      <c r="H170" t="inlineStr">
        <is>
          <t>0001628280-26-003952</t>
        </is>
      </c>
      <c r="I170" t="inlineStr">
        <is>
          <t>Part II Item 8, Consolidated Statements of Cash Flows, p.53</t>
        </is>
      </c>
      <c r="J170" t="inlineStr">
        <is>
          <t>Annual report (10-K)</t>
        </is>
      </c>
      <c r="K170" t="inlineStr">
        <is>
          <t>not XBRL-tagged (read from filing text)</t>
        </is>
      </c>
      <c r="L170" t="inlineStr"/>
      <c r="M170" t="inlineStr">
        <is>
          <t>https://www.sec.gov/Archives/edgar/data/1318605/000162828026003952/tsla-20251231.htm</t>
        </is>
      </c>
    </row>
    <row r="171">
      <c r="A171" t="inlineStr">
        <is>
          <t>debt_issued</t>
        </is>
      </c>
      <c r="B171" t="inlineStr">
        <is>
          <t>Proceeds from issuances of debt</t>
        </is>
      </c>
      <c r="C171" t="inlineStr">
        <is>
          <t>Cash flow</t>
        </is>
      </c>
      <c r="D171" t="inlineStr">
        <is>
          <t>H1_2026</t>
        </is>
      </c>
      <c r="E171" s="4" t="n">
        <v>4679</v>
      </c>
      <c r="F171" t="inlineStr">
        <is>
          <t>USD m</t>
        </is>
      </c>
      <c r="G171" t="inlineStr">
        <is>
          <t>10-Q - Q2 2026 (quarter ended 2026-06-30)</t>
        </is>
      </c>
      <c r="H171" t="inlineStr">
        <is>
          <t>0001628280-26-049270</t>
        </is>
      </c>
      <c r="I171" t="inlineStr">
        <is>
          <t>Part I Item 1, Consolidated Statements of Cash Flows (six months), p.8-9</t>
        </is>
      </c>
      <c r="J171" t="inlineStr">
        <is>
          <t>Quarterly report (10-Q)</t>
        </is>
      </c>
      <c r="K171" t="inlineStr">
        <is>
          <t>not XBRL-tagged (read from filing text)</t>
        </is>
      </c>
      <c r="L171" t="inlineStr"/>
      <c r="M171" t="inlineStr">
        <is>
          <t>https://www.sec.gov/Archives/edgar/data/1318605/000162828026049270/tsla-20260630.htm</t>
        </is>
      </c>
    </row>
    <row r="172">
      <c r="A172" t="inlineStr">
        <is>
          <t>debt_repaid</t>
        </is>
      </c>
      <c r="B172" t="inlineStr">
        <is>
          <t>Repayments of debt</t>
        </is>
      </c>
      <c r="C172" t="inlineStr">
        <is>
          <t>Cash flow</t>
        </is>
      </c>
      <c r="D172" t="inlineStr">
        <is>
          <t>FY2023</t>
        </is>
      </c>
      <c r="E172" s="4" t="n">
        <v>1351</v>
      </c>
      <c r="F172" t="inlineStr">
        <is>
          <t>USD m</t>
        </is>
      </c>
      <c r="G172" t="inlineStr">
        <is>
          <t>10-K - FY2025 (year ended 2025-12-31)</t>
        </is>
      </c>
      <c r="H172" t="inlineStr">
        <is>
          <t>0001628280-26-003952</t>
        </is>
      </c>
      <c r="I172" t="inlineStr">
        <is>
          <t>Part II Item 8, Consolidated Statements of Cash Flows, p.53</t>
        </is>
      </c>
      <c r="J172" t="inlineStr">
        <is>
          <t>Annual report (10-K)</t>
        </is>
      </c>
      <c r="K172" t="inlineStr">
        <is>
          <t>not XBRL-tagged (read from filing text)</t>
        </is>
      </c>
      <c r="L172" t="inlineStr"/>
      <c r="M172" t="inlineStr">
        <is>
          <t>https://www.sec.gov/Archives/edgar/data/1318605/000162828026003952/tsla-20251231.htm</t>
        </is>
      </c>
    </row>
    <row r="173">
      <c r="A173" t="inlineStr">
        <is>
          <t>debt_repaid</t>
        </is>
      </c>
      <c r="B173" t="inlineStr">
        <is>
          <t>Repayments of debt</t>
        </is>
      </c>
      <c r="C173" t="inlineStr">
        <is>
          <t>Cash flow</t>
        </is>
      </c>
      <c r="D173" t="inlineStr">
        <is>
          <t>FY2024</t>
        </is>
      </c>
      <c r="E173" s="4" t="n">
        <v>2500</v>
      </c>
      <c r="F173" t="inlineStr">
        <is>
          <t>USD m</t>
        </is>
      </c>
      <c r="G173" t="inlineStr">
        <is>
          <t>10-K - FY2025 (year ended 2025-12-31)</t>
        </is>
      </c>
      <c r="H173" t="inlineStr">
        <is>
          <t>0001628280-26-003952</t>
        </is>
      </c>
      <c r="I173" t="inlineStr">
        <is>
          <t>Part II Item 8, Consolidated Statements of Cash Flows, p.53</t>
        </is>
      </c>
      <c r="J173" t="inlineStr">
        <is>
          <t>Annual report (10-K)</t>
        </is>
      </c>
      <c r="K173" t="inlineStr">
        <is>
          <t>not XBRL-tagged (read from filing text)</t>
        </is>
      </c>
      <c r="L173" t="inlineStr"/>
      <c r="M173" t="inlineStr">
        <is>
          <t>https://www.sec.gov/Archives/edgar/data/1318605/000162828026003952/tsla-20251231.htm</t>
        </is>
      </c>
    </row>
    <row r="174">
      <c r="A174" t="inlineStr">
        <is>
          <t>debt_repaid</t>
        </is>
      </c>
      <c r="B174" t="inlineStr">
        <is>
          <t>Repayments of debt</t>
        </is>
      </c>
      <c r="C174" t="inlineStr">
        <is>
          <t>Cash flow</t>
        </is>
      </c>
      <c r="D174" t="inlineStr">
        <is>
          <t>FY2025</t>
        </is>
      </c>
      <c r="E174" s="4" t="n">
        <v>5546</v>
      </c>
      <c r="F174" t="inlineStr">
        <is>
          <t>USD m</t>
        </is>
      </c>
      <c r="G174" t="inlineStr">
        <is>
          <t>10-K - FY2025 (year ended 2025-12-31)</t>
        </is>
      </c>
      <c r="H174" t="inlineStr">
        <is>
          <t>0001628280-26-003952</t>
        </is>
      </c>
      <c r="I174" t="inlineStr">
        <is>
          <t>Part II Item 8, Consolidated Statements of Cash Flows, p.53</t>
        </is>
      </c>
      <c r="J174" t="inlineStr">
        <is>
          <t>Annual report (10-K)</t>
        </is>
      </c>
      <c r="K174" t="inlineStr">
        <is>
          <t>not XBRL-tagged (read from filing text)</t>
        </is>
      </c>
      <c r="L174" t="inlineStr"/>
      <c r="M174" t="inlineStr">
        <is>
          <t>https://www.sec.gov/Archives/edgar/data/1318605/000162828026003952/tsla-20251231.htm</t>
        </is>
      </c>
    </row>
    <row r="175">
      <c r="A175" t="inlineStr">
        <is>
          <t>debt_repaid</t>
        </is>
      </c>
      <c r="B175" t="inlineStr">
        <is>
          <t>Repayments of debt</t>
        </is>
      </c>
      <c r="C175" t="inlineStr">
        <is>
          <t>Cash flow</t>
        </is>
      </c>
      <c r="D175" t="inlineStr">
        <is>
          <t>H1_2026</t>
        </is>
      </c>
      <c r="E175" s="4" t="n">
        <v>3922</v>
      </c>
      <c r="F175" t="inlineStr">
        <is>
          <t>USD m</t>
        </is>
      </c>
      <c r="G175" t="inlineStr">
        <is>
          <t>10-Q - Q2 2026 (quarter ended 2026-06-30)</t>
        </is>
      </c>
      <c r="H175" t="inlineStr">
        <is>
          <t>0001628280-26-049270</t>
        </is>
      </c>
      <c r="I175" t="inlineStr">
        <is>
          <t>Part I Item 1, Consolidated Statements of Cash Flows (six months), p.8-9</t>
        </is>
      </c>
      <c r="J175" t="inlineStr">
        <is>
          <t>Quarterly report (10-Q)</t>
        </is>
      </c>
      <c r="K175" t="inlineStr">
        <is>
          <t>not XBRL-tagged (read from filing text)</t>
        </is>
      </c>
      <c r="L175" t="inlineStr"/>
      <c r="M175" t="inlineStr">
        <is>
          <t>https://www.sec.gov/Archives/edgar/data/1318605/000162828026049270/tsla-20260630.htm</t>
        </is>
      </c>
    </row>
    <row r="176">
      <c r="A176" t="inlineStr">
        <is>
          <t>fl_principal</t>
        </is>
      </c>
      <c r="B176" t="inlineStr">
        <is>
          <t>Principal payments on finance leases</t>
        </is>
      </c>
      <c r="C176" t="inlineStr">
        <is>
          <t>Cash flow</t>
        </is>
      </c>
      <c r="D176" t="inlineStr">
        <is>
          <t>FY2023</t>
        </is>
      </c>
      <c r="E176" s="4" t="n">
        <v>464</v>
      </c>
      <c r="F176" t="inlineStr">
        <is>
          <t>USD m</t>
        </is>
      </c>
      <c r="G176" t="inlineStr">
        <is>
          <t>10-K - FY2025 (year ended 2025-12-31)</t>
        </is>
      </c>
      <c r="H176" t="inlineStr">
        <is>
          <t>0001628280-26-003952</t>
        </is>
      </c>
      <c r="I176" t="inlineStr">
        <is>
          <t>Part II Item 8, Consolidated Statements of Cash Flows, p.53</t>
        </is>
      </c>
      <c r="J176" t="inlineStr">
        <is>
          <t>Annual report (10-K)</t>
        </is>
      </c>
      <c r="K176" t="inlineStr">
        <is>
          <t>not XBRL-tagged (read from filing text)</t>
        </is>
      </c>
      <c r="L176" t="inlineStr"/>
      <c r="M176" t="inlineStr">
        <is>
          <t>https://www.sec.gov/Archives/edgar/data/1318605/000162828026003952/tsla-20251231.htm</t>
        </is>
      </c>
    </row>
    <row r="177">
      <c r="A177" t="inlineStr">
        <is>
          <t>fl_principal</t>
        </is>
      </c>
      <c r="B177" t="inlineStr">
        <is>
          <t>Principal payments on finance leases</t>
        </is>
      </c>
      <c r="C177" t="inlineStr">
        <is>
          <t>Cash flow</t>
        </is>
      </c>
      <c r="D177" t="inlineStr">
        <is>
          <t>FY2024</t>
        </is>
      </c>
      <c r="E177" s="4" t="n">
        <v>381</v>
      </c>
      <c r="F177" t="inlineStr">
        <is>
          <t>USD m</t>
        </is>
      </c>
      <c r="G177" t="inlineStr">
        <is>
          <t>10-K - FY2025 (year ended 2025-12-31)</t>
        </is>
      </c>
      <c r="H177" t="inlineStr">
        <is>
          <t>0001628280-26-003952</t>
        </is>
      </c>
      <c r="I177" t="inlineStr">
        <is>
          <t>Part II Item 8, Consolidated Statements of Cash Flows, p.53</t>
        </is>
      </c>
      <c r="J177" t="inlineStr">
        <is>
          <t>Annual report (10-K)</t>
        </is>
      </c>
      <c r="K177" t="inlineStr">
        <is>
          <t>not XBRL-tagged (read from filing text)</t>
        </is>
      </c>
      <c r="L177" t="inlineStr"/>
      <c r="M177" t="inlineStr">
        <is>
          <t>https://www.sec.gov/Archives/edgar/data/1318605/000162828026003952/tsla-20251231.htm</t>
        </is>
      </c>
    </row>
    <row r="178">
      <c r="A178" t="inlineStr">
        <is>
          <t>fl_principal</t>
        </is>
      </c>
      <c r="B178" t="inlineStr">
        <is>
          <t>Principal payments on finance leases</t>
        </is>
      </c>
      <c r="C178" t="inlineStr">
        <is>
          <t>Cash flow</t>
        </is>
      </c>
      <c r="D178" t="inlineStr">
        <is>
          <t>FY2025</t>
        </is>
      </c>
      <c r="E178" s="4" t="n">
        <v>104</v>
      </c>
      <c r="F178" t="inlineStr">
        <is>
          <t>USD m</t>
        </is>
      </c>
      <c r="G178" t="inlineStr">
        <is>
          <t>10-K - FY2025 (year ended 2025-12-31)</t>
        </is>
      </c>
      <c r="H178" t="inlineStr">
        <is>
          <t>0001628280-26-003952</t>
        </is>
      </c>
      <c r="I178" t="inlineStr">
        <is>
          <t>Part II Item 8, Consolidated Statements of Cash Flows, p.53</t>
        </is>
      </c>
      <c r="J178" t="inlineStr">
        <is>
          <t>Annual report (10-K)</t>
        </is>
      </c>
      <c r="K178" t="inlineStr">
        <is>
          <t>not XBRL-tagged (read from filing text)</t>
        </is>
      </c>
      <c r="L178" t="inlineStr"/>
      <c r="M178" t="inlineStr">
        <is>
          <t>https://www.sec.gov/Archives/edgar/data/1318605/000162828026003952/tsla-20251231.htm</t>
        </is>
      </c>
    </row>
    <row r="179">
      <c r="A179" t="inlineStr">
        <is>
          <t>fl_principal</t>
        </is>
      </c>
      <c r="B179" t="inlineStr">
        <is>
          <t>Principal payments on finance leases</t>
        </is>
      </c>
      <c r="C179" t="inlineStr">
        <is>
          <t>Cash flow</t>
        </is>
      </c>
      <c r="D179" t="inlineStr">
        <is>
          <t>H1_2026</t>
        </is>
      </c>
      <c r="E179" s="4" t="n">
        <v>37</v>
      </c>
      <c r="F179" t="inlineStr">
        <is>
          <t>USD m</t>
        </is>
      </c>
      <c r="G179" t="inlineStr">
        <is>
          <t>10-Q - Q2 2026 (quarter ended 2026-06-30)</t>
        </is>
      </c>
      <c r="H179" t="inlineStr">
        <is>
          <t>0001628280-26-049270</t>
        </is>
      </c>
      <c r="I179" t="inlineStr">
        <is>
          <t>Part I Item 1, Consolidated Statements of Cash Flows (six months), p.8-9</t>
        </is>
      </c>
      <c r="J179" t="inlineStr">
        <is>
          <t>Quarterly report (10-Q)</t>
        </is>
      </c>
      <c r="K179" t="inlineStr">
        <is>
          <t>not XBRL-tagged (read from filing text)</t>
        </is>
      </c>
      <c r="L179" t="inlineStr"/>
      <c r="M179" t="inlineStr">
        <is>
          <t>https://www.sec.gov/Archives/edgar/data/1318605/000162828026049270/tsla-20260630.htm</t>
        </is>
      </c>
    </row>
    <row r="180">
      <c r="A180" t="inlineStr">
        <is>
          <t>option_proceeds</t>
        </is>
      </c>
      <c r="B180" t="inlineStr">
        <is>
          <t>Proceeds from stock option exercises / other issuances</t>
        </is>
      </c>
      <c r="C180" t="inlineStr">
        <is>
          <t>Cash flow</t>
        </is>
      </c>
      <c r="D180" t="inlineStr">
        <is>
          <t>FY2023</t>
        </is>
      </c>
      <c r="E180" s="4" t="n">
        <v>700</v>
      </c>
      <c r="F180" t="inlineStr">
        <is>
          <t>USD m</t>
        </is>
      </c>
      <c r="G180" t="inlineStr">
        <is>
          <t>10-K - FY2025 (year ended 2025-12-31)</t>
        </is>
      </c>
      <c r="H180" t="inlineStr">
        <is>
          <t>0001628280-26-003952</t>
        </is>
      </c>
      <c r="I180" t="inlineStr">
        <is>
          <t>Part II Item 8, Consolidated Statements of Cash Flows, p.53</t>
        </is>
      </c>
      <c r="J180" t="inlineStr">
        <is>
          <t>Annual report (10-K)</t>
        </is>
      </c>
      <c r="K180" t="inlineStr">
        <is>
          <t>not XBRL-tagged (read from filing text)</t>
        </is>
      </c>
      <c r="L180" t="inlineStr"/>
      <c r="M180" t="inlineStr">
        <is>
          <t>https://www.sec.gov/Archives/edgar/data/1318605/000162828026003952/tsla-20251231.htm</t>
        </is>
      </c>
    </row>
    <row r="181">
      <c r="A181" t="inlineStr">
        <is>
          <t>option_proceeds</t>
        </is>
      </c>
      <c r="B181" t="inlineStr">
        <is>
          <t>Proceeds from stock option exercises / other issuances</t>
        </is>
      </c>
      <c r="C181" t="inlineStr">
        <is>
          <t>Cash flow</t>
        </is>
      </c>
      <c r="D181" t="inlineStr">
        <is>
          <t>FY2024</t>
        </is>
      </c>
      <c r="E181" s="4" t="n">
        <v>1241</v>
      </c>
      <c r="F181" t="inlineStr">
        <is>
          <t>USD m</t>
        </is>
      </c>
      <c r="G181" t="inlineStr">
        <is>
          <t>10-K - FY2025 (year ended 2025-12-31)</t>
        </is>
      </c>
      <c r="H181" t="inlineStr">
        <is>
          <t>0001628280-26-003952</t>
        </is>
      </c>
      <c r="I181" t="inlineStr">
        <is>
          <t>Part II Item 8, Consolidated Statements of Cash Flows, p.53</t>
        </is>
      </c>
      <c r="J181" t="inlineStr">
        <is>
          <t>Annual report (10-K)</t>
        </is>
      </c>
      <c r="K181" t="inlineStr">
        <is>
          <t>not XBRL-tagged (read from filing text)</t>
        </is>
      </c>
      <c r="L181" t="inlineStr"/>
      <c r="M181" t="inlineStr">
        <is>
          <t>https://www.sec.gov/Archives/edgar/data/1318605/000162828026003952/tsla-20251231.htm</t>
        </is>
      </c>
    </row>
    <row r="182">
      <c r="A182" t="inlineStr">
        <is>
          <t>option_proceeds</t>
        </is>
      </c>
      <c r="B182" t="inlineStr">
        <is>
          <t>Proceeds from stock option exercises / other issuances</t>
        </is>
      </c>
      <c r="C182" t="inlineStr">
        <is>
          <t>Cash flow</t>
        </is>
      </c>
      <c r="D182" t="inlineStr">
        <is>
          <t>FY2025</t>
        </is>
      </c>
      <c r="E182" s="4" t="n">
        <v>1186</v>
      </c>
      <c r="F182" t="inlineStr">
        <is>
          <t>USD m</t>
        </is>
      </c>
      <c r="G182" t="inlineStr">
        <is>
          <t>10-K - FY2025 (year ended 2025-12-31)</t>
        </is>
      </c>
      <c r="H182" t="inlineStr">
        <is>
          <t>0001628280-26-003952</t>
        </is>
      </c>
      <c r="I182" t="inlineStr">
        <is>
          <t>Part II Item 8, Consolidated Statements of Cash Flows, p.53</t>
        </is>
      </c>
      <c r="J182" t="inlineStr">
        <is>
          <t>Annual report (10-K)</t>
        </is>
      </c>
      <c r="K182" t="inlineStr">
        <is>
          <t>not XBRL-tagged (read from filing text)</t>
        </is>
      </c>
      <c r="L182" t="inlineStr"/>
      <c r="M182" t="inlineStr">
        <is>
          <t>https://www.sec.gov/Archives/edgar/data/1318605/000162828026003952/tsla-20251231.htm</t>
        </is>
      </c>
    </row>
    <row r="183">
      <c r="A183" t="inlineStr">
        <is>
          <t>option_proceeds</t>
        </is>
      </c>
      <c r="B183" t="inlineStr">
        <is>
          <t>Proceeds from stock option exercises / other issuances</t>
        </is>
      </c>
      <c r="C183" t="inlineStr">
        <is>
          <t>Cash flow</t>
        </is>
      </c>
      <c r="D183" t="inlineStr">
        <is>
          <t>H1_2026</t>
        </is>
      </c>
      <c r="E183" s="4" t="n">
        <v>468</v>
      </c>
      <c r="F183" t="inlineStr">
        <is>
          <t>USD m</t>
        </is>
      </c>
      <c r="G183" t="inlineStr">
        <is>
          <t>10-Q - Q2 2026 (quarter ended 2026-06-30)</t>
        </is>
      </c>
      <c r="H183" t="inlineStr">
        <is>
          <t>0001628280-26-049270</t>
        </is>
      </c>
      <c r="I183" t="inlineStr">
        <is>
          <t>Part I Item 1, Consolidated Statements of Cash Flows (six months), p.8-9</t>
        </is>
      </c>
      <c r="J183" t="inlineStr">
        <is>
          <t>Quarterly report (10-Q)</t>
        </is>
      </c>
      <c r="K183" t="inlineStr">
        <is>
          <t>not XBRL-tagged (read from filing text)</t>
        </is>
      </c>
      <c r="L183" t="inlineStr"/>
      <c r="M183" t="inlineStr">
        <is>
          <t>https://www.sec.gov/Archives/edgar/data/1318605/000162828026049270/tsla-20260630.htm</t>
        </is>
      </c>
    </row>
    <row r="184">
      <c r="A184" t="inlineStr">
        <is>
          <t>nci_distributions</t>
        </is>
      </c>
      <c r="B184" t="inlineStr">
        <is>
          <t>Distributions to noncontrolling interests</t>
        </is>
      </c>
      <c r="C184" t="inlineStr">
        <is>
          <t>Cash flow</t>
        </is>
      </c>
      <c r="D184" t="inlineStr">
        <is>
          <t>FY2023</t>
        </is>
      </c>
      <c r="E184" s="4" t="n">
        <v>144</v>
      </c>
      <c r="F184" t="inlineStr">
        <is>
          <t>USD m</t>
        </is>
      </c>
      <c r="G184" t="inlineStr">
        <is>
          <t>10-K - FY2025 (year ended 2025-12-31)</t>
        </is>
      </c>
      <c r="H184" t="inlineStr">
        <is>
          <t>0001628280-26-003952</t>
        </is>
      </c>
      <c r="I184" t="inlineStr">
        <is>
          <t>Part II Item 8, Consolidated Statements of Cash Flows, p.53</t>
        </is>
      </c>
      <c r="J184" t="inlineStr">
        <is>
          <t>Annual report (10-K)</t>
        </is>
      </c>
      <c r="K184" t="inlineStr">
        <is>
          <t>not XBRL-tagged (read from filing text)</t>
        </is>
      </c>
      <c r="L184" t="inlineStr"/>
      <c r="M184" t="inlineStr">
        <is>
          <t>https://www.sec.gov/Archives/edgar/data/1318605/000162828026003952/tsla-20251231.htm</t>
        </is>
      </c>
    </row>
    <row r="185">
      <c r="A185" t="inlineStr">
        <is>
          <t>nci_distributions</t>
        </is>
      </c>
      <c r="B185" t="inlineStr">
        <is>
          <t>Distributions to noncontrolling interests</t>
        </is>
      </c>
      <c r="C185" t="inlineStr">
        <is>
          <t>Cash flow</t>
        </is>
      </c>
      <c r="D185" t="inlineStr">
        <is>
          <t>FY2024</t>
        </is>
      </c>
      <c r="E185" s="4" t="n">
        <v>104</v>
      </c>
      <c r="F185" t="inlineStr">
        <is>
          <t>USD m</t>
        </is>
      </c>
      <c r="G185" t="inlineStr">
        <is>
          <t>10-K - FY2025 (year ended 2025-12-31)</t>
        </is>
      </c>
      <c r="H185" t="inlineStr">
        <is>
          <t>0001628280-26-003952</t>
        </is>
      </c>
      <c r="I185" t="inlineStr">
        <is>
          <t>Part II Item 8, Consolidated Statements of Cash Flows, p.53</t>
        </is>
      </c>
      <c r="J185" t="inlineStr">
        <is>
          <t>Annual report (10-K)</t>
        </is>
      </c>
      <c r="K185" t="inlineStr">
        <is>
          <t>not XBRL-tagged (read from filing text)</t>
        </is>
      </c>
      <c r="L185" t="inlineStr"/>
      <c r="M185" t="inlineStr">
        <is>
          <t>https://www.sec.gov/Archives/edgar/data/1318605/000162828026003952/tsla-20251231.htm</t>
        </is>
      </c>
    </row>
    <row r="186">
      <c r="A186" t="inlineStr">
        <is>
          <t>nci_distributions</t>
        </is>
      </c>
      <c r="B186" t="inlineStr">
        <is>
          <t>Distributions to noncontrolling interests</t>
        </is>
      </c>
      <c r="C186" t="inlineStr">
        <is>
          <t>Cash flow</t>
        </is>
      </c>
      <c r="D186" t="inlineStr">
        <is>
          <t>FY2025</t>
        </is>
      </c>
      <c r="E186" s="4" t="n">
        <v>78</v>
      </c>
      <c r="F186" t="inlineStr">
        <is>
          <t>USD m</t>
        </is>
      </c>
      <c r="G186" t="inlineStr">
        <is>
          <t>10-K - FY2025 (year ended 2025-12-31)</t>
        </is>
      </c>
      <c r="H186" t="inlineStr">
        <is>
          <t>0001628280-26-003952</t>
        </is>
      </c>
      <c r="I186" t="inlineStr">
        <is>
          <t>Part II Item 8, Consolidated Statements of Cash Flows, p.53</t>
        </is>
      </c>
      <c r="J186" t="inlineStr">
        <is>
          <t>Annual report (10-K)</t>
        </is>
      </c>
      <c r="K186" t="inlineStr">
        <is>
          <t>not XBRL-tagged (read from filing text)</t>
        </is>
      </c>
      <c r="L186" t="inlineStr"/>
      <c r="M186" t="inlineStr">
        <is>
          <t>https://www.sec.gov/Archives/edgar/data/1318605/000162828026003952/tsla-20251231.htm</t>
        </is>
      </c>
    </row>
    <row r="187">
      <c r="A187" t="inlineStr">
        <is>
          <t>nci_distributions</t>
        </is>
      </c>
      <c r="B187" t="inlineStr">
        <is>
          <t>Distributions to noncontrolling interests</t>
        </is>
      </c>
      <c r="C187" t="inlineStr">
        <is>
          <t>Cash flow</t>
        </is>
      </c>
      <c r="D187" t="inlineStr">
        <is>
          <t>H1_2026</t>
        </is>
      </c>
      <c r="E187" s="4" t="n">
        <v>91</v>
      </c>
      <c r="F187" t="inlineStr">
        <is>
          <t>USD m</t>
        </is>
      </c>
      <c r="G187" t="inlineStr">
        <is>
          <t>10-Q - Q2 2026 (quarter ended 2026-06-30)</t>
        </is>
      </c>
      <c r="H187" t="inlineStr">
        <is>
          <t>0001628280-26-049270</t>
        </is>
      </c>
      <c r="I187" t="inlineStr">
        <is>
          <t>Part I Item 1, Consolidated Statements of Cash Flows (six months), p.8-9</t>
        </is>
      </c>
      <c r="J187" t="inlineStr">
        <is>
          <t>Quarterly report (10-Q)</t>
        </is>
      </c>
      <c r="K187" t="inlineStr">
        <is>
          <t>not XBRL-tagged (read from filing text)</t>
        </is>
      </c>
      <c r="L187" t="inlineStr"/>
      <c r="M187" t="inlineStr">
        <is>
          <t>https://www.sec.gov/Archives/edgar/data/1318605/000162828026049270/tsla-20260630.htm</t>
        </is>
      </c>
    </row>
    <row r="188">
      <c r="A188" t="inlineStr">
        <is>
          <t>buybacks</t>
        </is>
      </c>
      <c r="B188" t="inlineStr">
        <is>
          <t>Share repurchases</t>
        </is>
      </c>
      <c r="C188" t="inlineStr">
        <is>
          <t>Cash flow</t>
        </is>
      </c>
      <c r="D188" t="inlineStr">
        <is>
          <t>FY2023</t>
        </is>
      </c>
      <c r="E188" s="4" t="n">
        <v>0</v>
      </c>
      <c r="F188" t="inlineStr">
        <is>
          <t>USD m</t>
        </is>
      </c>
      <c r="G188" t="inlineStr">
        <is>
          <t>10-K - FY2025 (year ended 2025-12-31)</t>
        </is>
      </c>
      <c r="H188" t="inlineStr">
        <is>
          <t>0001628280-26-003952</t>
        </is>
      </c>
      <c r="I188" t="inlineStr">
        <is>
          <t>Part II Item 8, Consolidated Statements of Cash Flows, p.53</t>
        </is>
      </c>
      <c r="J188" t="inlineStr">
        <is>
          <t>Annual report (10-K)</t>
        </is>
      </c>
      <c r="K188" t="inlineStr">
        <is>
          <t>not XBRL-tagged (read from filing text)</t>
        </is>
      </c>
      <c r="L188" t="inlineStr">
        <is>
          <t>No repurchases reported in the financing section of any period.</t>
        </is>
      </c>
      <c r="M188" t="inlineStr">
        <is>
          <t>https://www.sec.gov/Archives/edgar/data/1318605/000162828026003952/tsla-20251231.htm</t>
        </is>
      </c>
    </row>
    <row r="189">
      <c r="A189" t="inlineStr">
        <is>
          <t>buybacks</t>
        </is>
      </c>
      <c r="B189" t="inlineStr">
        <is>
          <t>Share repurchases</t>
        </is>
      </c>
      <c r="C189" t="inlineStr">
        <is>
          <t>Cash flow</t>
        </is>
      </c>
      <c r="D189" t="inlineStr">
        <is>
          <t>FY2024</t>
        </is>
      </c>
      <c r="E189" s="4" t="n">
        <v>0</v>
      </c>
      <c r="F189" t="inlineStr">
        <is>
          <t>USD m</t>
        </is>
      </c>
      <c r="G189" t="inlineStr">
        <is>
          <t>10-K - FY2025 (year ended 2025-12-31)</t>
        </is>
      </c>
      <c r="H189" t="inlineStr">
        <is>
          <t>0001628280-26-003952</t>
        </is>
      </c>
      <c r="I189" t="inlineStr">
        <is>
          <t>Part II Item 8, Consolidated Statements of Cash Flows, p.53</t>
        </is>
      </c>
      <c r="J189" t="inlineStr">
        <is>
          <t>Annual report (10-K)</t>
        </is>
      </c>
      <c r="K189" t="inlineStr">
        <is>
          <t>not XBRL-tagged (read from filing text)</t>
        </is>
      </c>
      <c r="L189" t="inlineStr">
        <is>
          <t>No repurchases reported in the financing section of any period.</t>
        </is>
      </c>
      <c r="M189" t="inlineStr">
        <is>
          <t>https://www.sec.gov/Archives/edgar/data/1318605/000162828026003952/tsla-20251231.htm</t>
        </is>
      </c>
    </row>
    <row r="190">
      <c r="A190" t="inlineStr">
        <is>
          <t>buybacks</t>
        </is>
      </c>
      <c r="B190" t="inlineStr">
        <is>
          <t>Share repurchases</t>
        </is>
      </c>
      <c r="C190" t="inlineStr">
        <is>
          <t>Cash flow</t>
        </is>
      </c>
      <c r="D190" t="inlineStr">
        <is>
          <t>FY2025</t>
        </is>
      </c>
      <c r="E190" s="4" t="n">
        <v>0</v>
      </c>
      <c r="F190" t="inlineStr">
        <is>
          <t>USD m</t>
        </is>
      </c>
      <c r="G190" t="inlineStr">
        <is>
          <t>10-K - FY2025 (year ended 2025-12-31)</t>
        </is>
      </c>
      <c r="H190" t="inlineStr">
        <is>
          <t>0001628280-26-003952</t>
        </is>
      </c>
      <c r="I190" t="inlineStr">
        <is>
          <t>Part II Item 8, Consolidated Statements of Cash Flows, p.53</t>
        </is>
      </c>
      <c r="J190" t="inlineStr">
        <is>
          <t>Annual report (10-K)</t>
        </is>
      </c>
      <c r="K190" t="inlineStr">
        <is>
          <t>not XBRL-tagged (read from filing text)</t>
        </is>
      </c>
      <c r="L190" t="inlineStr">
        <is>
          <t>No repurchases reported in the financing section of any period.</t>
        </is>
      </c>
      <c r="M190" t="inlineStr">
        <is>
          <t>https://www.sec.gov/Archives/edgar/data/1318605/000162828026003952/tsla-20251231.htm</t>
        </is>
      </c>
    </row>
    <row r="191">
      <c r="A191" t="inlineStr">
        <is>
          <t>buybacks</t>
        </is>
      </c>
      <c r="B191" t="inlineStr">
        <is>
          <t>Share repurchases</t>
        </is>
      </c>
      <c r="C191" t="inlineStr">
        <is>
          <t>Cash flow</t>
        </is>
      </c>
      <c r="D191" t="inlineStr">
        <is>
          <t>H1_2026</t>
        </is>
      </c>
      <c r="E191" s="4" t="n">
        <v>0</v>
      </c>
      <c r="F191" t="inlineStr">
        <is>
          <t>USD m</t>
        </is>
      </c>
      <c r="G191" t="inlineStr">
        <is>
          <t>10-Q - Q2 2026 (quarter ended 2026-06-30)</t>
        </is>
      </c>
      <c r="H191" t="inlineStr">
        <is>
          <t>0001628280-26-049270</t>
        </is>
      </c>
      <c r="I191" t="inlineStr">
        <is>
          <t>Part I Item 1, Consolidated Statements of Cash Flows (six months), p.8-9</t>
        </is>
      </c>
      <c r="J191" t="inlineStr">
        <is>
          <t>Quarterly report (10-Q)</t>
        </is>
      </c>
      <c r="K191" t="inlineStr">
        <is>
          <t>not XBRL-tagged (read from filing text)</t>
        </is>
      </c>
      <c r="L191" t="inlineStr">
        <is>
          <t>No repurchases reported in the financing section of any period.</t>
        </is>
      </c>
      <c r="M191" t="inlineStr">
        <is>
          <t>https://www.sec.gov/Archives/edgar/data/1318605/000162828026049270/tsla-20260630.htm</t>
        </is>
      </c>
    </row>
    <row r="192">
      <c r="A192" t="inlineStr">
        <is>
          <t>cff</t>
        </is>
      </c>
      <c r="B192" t="inlineStr">
        <is>
          <t>Net cash provided by financing activities</t>
        </is>
      </c>
      <c r="C192" t="inlineStr">
        <is>
          <t>Cash flow</t>
        </is>
      </c>
      <c r="D192" t="inlineStr">
        <is>
          <t>FY2023</t>
        </is>
      </c>
      <c r="E192" s="4" t="n">
        <v>2589</v>
      </c>
      <c r="F192" t="inlineStr">
        <is>
          <t>USD m</t>
        </is>
      </c>
      <c r="G192" t="inlineStr">
        <is>
          <t>10-K - FY2025 (year ended 2025-12-31)</t>
        </is>
      </c>
      <c r="H192" t="inlineStr">
        <is>
          <t>0001628280-26-003952</t>
        </is>
      </c>
      <c r="I192" t="inlineStr">
        <is>
          <t>Part II Item 8, Consolidated Statements of Cash Flows, p.53</t>
        </is>
      </c>
      <c r="J192" t="inlineStr">
        <is>
          <t>Annual report (10-K)</t>
        </is>
      </c>
      <c r="K192" t="inlineStr">
        <is>
          <t>not XBRL-tagged (read from filing text)</t>
        </is>
      </c>
      <c r="L192" t="inlineStr"/>
      <c r="M192" t="inlineStr">
        <is>
          <t>https://www.sec.gov/Archives/edgar/data/1318605/000162828026003952/tsla-20251231.htm</t>
        </is>
      </c>
    </row>
    <row r="193">
      <c r="A193" t="inlineStr">
        <is>
          <t>cff</t>
        </is>
      </c>
      <c r="B193" t="inlineStr">
        <is>
          <t>Net cash provided by financing activities</t>
        </is>
      </c>
      <c r="C193" t="inlineStr">
        <is>
          <t>Cash flow</t>
        </is>
      </c>
      <c r="D193" t="inlineStr">
        <is>
          <t>FY2024</t>
        </is>
      </c>
      <c r="E193" s="4" t="n">
        <v>3853</v>
      </c>
      <c r="F193" t="inlineStr">
        <is>
          <t>USD m</t>
        </is>
      </c>
      <c r="G193" t="inlineStr">
        <is>
          <t>10-K - FY2025 (year ended 2025-12-31)</t>
        </is>
      </c>
      <c r="H193" t="inlineStr">
        <is>
          <t>0001628280-26-003952</t>
        </is>
      </c>
      <c r="I193" t="inlineStr">
        <is>
          <t>Part II Item 8, Consolidated Statements of Cash Flows, p.53</t>
        </is>
      </c>
      <c r="J193" t="inlineStr">
        <is>
          <t>Annual report (10-K)</t>
        </is>
      </c>
      <c r="K193" t="inlineStr">
        <is>
          <t>not XBRL-tagged (read from filing text)</t>
        </is>
      </c>
      <c r="L193" t="inlineStr"/>
      <c r="M193" t="inlineStr">
        <is>
          <t>https://www.sec.gov/Archives/edgar/data/1318605/000162828026003952/tsla-20251231.htm</t>
        </is>
      </c>
    </row>
    <row r="194">
      <c r="A194" t="inlineStr">
        <is>
          <t>cff</t>
        </is>
      </c>
      <c r="B194" t="inlineStr">
        <is>
          <t>Net cash provided by financing activities</t>
        </is>
      </c>
      <c r="C194" t="inlineStr">
        <is>
          <t>Cash flow</t>
        </is>
      </c>
      <c r="D194" t="inlineStr">
        <is>
          <t>FY2025</t>
        </is>
      </c>
      <c r="E194" s="4" t="n">
        <v>1139</v>
      </c>
      <c r="F194" t="inlineStr">
        <is>
          <t>USD m</t>
        </is>
      </c>
      <c r="G194" t="inlineStr">
        <is>
          <t>10-K - FY2025 (year ended 2025-12-31)</t>
        </is>
      </c>
      <c r="H194" t="inlineStr">
        <is>
          <t>0001628280-26-003952</t>
        </is>
      </c>
      <c r="I194" t="inlineStr">
        <is>
          <t>Part II Item 8, Consolidated Statements of Cash Flows, p.53</t>
        </is>
      </c>
      <c r="J194" t="inlineStr">
        <is>
          <t>Annual report (10-K)</t>
        </is>
      </c>
      <c r="K194" t="inlineStr">
        <is>
          <t>not XBRL-tagged (read from filing text)</t>
        </is>
      </c>
      <c r="L194" t="inlineStr"/>
      <c r="M194" t="inlineStr">
        <is>
          <t>https://www.sec.gov/Archives/edgar/data/1318605/000162828026003952/tsla-20251231.htm</t>
        </is>
      </c>
    </row>
    <row r="195">
      <c r="A195" t="inlineStr">
        <is>
          <t>cff</t>
        </is>
      </c>
      <c r="B195" t="inlineStr">
        <is>
          <t>Net cash provided by financing activities</t>
        </is>
      </c>
      <c r="C195" t="inlineStr">
        <is>
          <t>Cash flow</t>
        </is>
      </c>
      <c r="D195" t="inlineStr">
        <is>
          <t>H1_2026</t>
        </is>
      </c>
      <c r="E195" s="4" t="n">
        <v>1209</v>
      </c>
      <c r="F195" t="inlineStr">
        <is>
          <t>USD m</t>
        </is>
      </c>
      <c r="G195" t="inlineStr">
        <is>
          <t>10-Q - Q2 2026 (quarter ended 2026-06-30)</t>
        </is>
      </c>
      <c r="H195" t="inlineStr">
        <is>
          <t>0001628280-26-049270</t>
        </is>
      </c>
      <c r="I195" t="inlineStr">
        <is>
          <t>Part I Item 1, Consolidated Statements of Cash Flows (six months), p.8-9</t>
        </is>
      </c>
      <c r="J195" t="inlineStr">
        <is>
          <t>Quarterly report (10-Q)</t>
        </is>
      </c>
      <c r="K195" t="inlineStr">
        <is>
          <t>not XBRL-tagged (read from filing text)</t>
        </is>
      </c>
      <c r="L195" t="inlineStr"/>
      <c r="M195" t="inlineStr">
        <is>
          <t>https://www.sec.gov/Archives/edgar/data/1318605/000162828026049270/tsla-20260630.htm</t>
        </is>
      </c>
    </row>
    <row r="196">
      <c r="A196" t="inlineStr">
        <is>
          <t>cash</t>
        </is>
      </c>
      <c r="B196" t="inlineStr">
        <is>
          <t>Cash and cash equivalents</t>
        </is>
      </c>
      <c r="C196" t="inlineStr">
        <is>
          <t>Balance sheet</t>
        </is>
      </c>
      <c r="D196" t="inlineStr">
        <is>
          <t>FY2023</t>
        </is>
      </c>
      <c r="E196" s="4" t="n">
        <v>16398</v>
      </c>
      <c r="F196" t="inlineStr">
        <is>
          <t>USD m</t>
        </is>
      </c>
      <c r="G196" t="inlineStr">
        <is>
          <t>10-K - FY2024 (year ended 2024-12-31)</t>
        </is>
      </c>
      <c r="H196" t="inlineStr">
        <is>
          <t>0001628280-25-003063</t>
        </is>
      </c>
      <c r="I196" t="inlineStr">
        <is>
          <t>Part II Item 8, Consolidated Balance Sheets, p.48</t>
        </is>
      </c>
      <c r="J196" t="inlineStr">
        <is>
          <t>Annual report (10-K)</t>
        </is>
      </c>
      <c r="K196" t="inlineStr">
        <is>
          <t>not XBRL-tagged (read from filing text)</t>
        </is>
      </c>
      <c r="L196" t="inlineStr"/>
      <c r="M196" t="inlineStr">
        <is>
          <t>https://www.sec.gov/Archives/edgar/data/1318605/000162828025003063/tsla-20241231.htm</t>
        </is>
      </c>
    </row>
    <row r="197">
      <c r="A197" t="inlineStr">
        <is>
          <t>cash</t>
        </is>
      </c>
      <c r="B197" t="inlineStr">
        <is>
          <t>Cash and cash equivalents</t>
        </is>
      </c>
      <c r="C197" t="inlineStr">
        <is>
          <t>Balance sheet</t>
        </is>
      </c>
      <c r="D197" t="inlineStr">
        <is>
          <t>FY2024</t>
        </is>
      </c>
      <c r="E197" s="4" t="n">
        <v>16139</v>
      </c>
      <c r="F197" t="inlineStr">
        <is>
          <t>USD m</t>
        </is>
      </c>
      <c r="G197" t="inlineStr">
        <is>
          <t>10-K - FY2025 (year ended 2025-12-31)</t>
        </is>
      </c>
      <c r="H197" t="inlineStr">
        <is>
          <t>0001628280-26-003952</t>
        </is>
      </c>
      <c r="I197" t="inlineStr">
        <is>
          <t>Part II Item 8, Consolidated Balance Sheets, p.49</t>
        </is>
      </c>
      <c r="J197" t="inlineStr">
        <is>
          <t>Annual report (10-K)</t>
        </is>
      </c>
      <c r="K197" t="inlineStr">
        <is>
          <t>not XBRL-tagged (read from filing text)</t>
        </is>
      </c>
      <c r="L197" t="inlineStr"/>
      <c r="M197" t="inlineStr">
        <is>
          <t>https://www.sec.gov/Archives/edgar/data/1318605/000162828026003952/tsla-20251231.htm</t>
        </is>
      </c>
    </row>
    <row r="198">
      <c r="A198" t="inlineStr">
        <is>
          <t>cash</t>
        </is>
      </c>
      <c r="B198" t="inlineStr">
        <is>
          <t>Cash and cash equivalents</t>
        </is>
      </c>
      <c r="C198" t="inlineStr">
        <is>
          <t>Balance sheet</t>
        </is>
      </c>
      <c r="D198" t="inlineStr">
        <is>
          <t>FY2025</t>
        </is>
      </c>
      <c r="E198" s="4" t="n">
        <v>16513</v>
      </c>
      <c r="F198" t="inlineStr">
        <is>
          <t>USD m</t>
        </is>
      </c>
      <c r="G198" t="inlineStr">
        <is>
          <t>10-K - FY2025 (year ended 2025-12-31)</t>
        </is>
      </c>
      <c r="H198" t="inlineStr">
        <is>
          <t>0001628280-26-003952</t>
        </is>
      </c>
      <c r="I198" t="inlineStr">
        <is>
          <t>Part II Item 8, Consolidated Balance Sheets, p.49</t>
        </is>
      </c>
      <c r="J198" t="inlineStr">
        <is>
          <t>Annual report (10-K)</t>
        </is>
      </c>
      <c r="K198" t="inlineStr">
        <is>
          <t>not XBRL-tagged (read from filing text)</t>
        </is>
      </c>
      <c r="L198" t="inlineStr"/>
      <c r="M198" t="inlineStr">
        <is>
          <t>https://www.sec.gov/Archives/edgar/data/1318605/000162828026003952/tsla-20251231.htm</t>
        </is>
      </c>
    </row>
    <row r="199">
      <c r="A199" t="inlineStr">
        <is>
          <t>cash</t>
        </is>
      </c>
      <c r="B199" t="inlineStr">
        <is>
          <t>Cash and cash equivalents</t>
        </is>
      </c>
      <c r="C199" t="inlineStr">
        <is>
          <t>Balance sheet</t>
        </is>
      </c>
      <c r="D199" t="inlineStr">
        <is>
          <t>Q2_2026</t>
        </is>
      </c>
      <c r="E199" s="4" t="n">
        <v>15219</v>
      </c>
      <c r="F199" t="inlineStr">
        <is>
          <t>USD m</t>
        </is>
      </c>
      <c r="G199" t="inlineStr">
        <is>
          <t>10-Q - Q2 2026 (quarter ended 2026-06-30)</t>
        </is>
      </c>
      <c r="H199" t="inlineStr">
        <is>
          <t>0001628280-26-049270</t>
        </is>
      </c>
      <c r="I199" t="inlineStr">
        <is>
          <t>Part I Item 1, Consolidated Balance Sheets, p.4</t>
        </is>
      </c>
      <c r="J199" t="inlineStr">
        <is>
          <t>Quarterly report (10-Q)</t>
        </is>
      </c>
      <c r="K199" t="inlineStr">
        <is>
          <t>not XBRL-tagged (read from filing text)</t>
        </is>
      </c>
      <c r="L199" t="inlineStr"/>
      <c r="M199" t="inlineStr">
        <is>
          <t>https://www.sec.gov/Archives/edgar/data/1318605/000162828026049270/tsla-20260630.htm</t>
        </is>
      </c>
    </row>
    <row r="200">
      <c r="A200" t="inlineStr">
        <is>
          <t>st_investments</t>
        </is>
      </c>
      <c r="B200" t="inlineStr">
        <is>
          <t>Short-term investments</t>
        </is>
      </c>
      <c r="C200" t="inlineStr">
        <is>
          <t>Balance sheet</t>
        </is>
      </c>
      <c r="D200" t="inlineStr">
        <is>
          <t>FY2023</t>
        </is>
      </c>
      <c r="E200" s="4" t="n">
        <v>12696</v>
      </c>
      <c r="F200" t="inlineStr">
        <is>
          <t>USD m</t>
        </is>
      </c>
      <c r="G200" t="inlineStr">
        <is>
          <t>10-K - FY2024 (year ended 2024-12-31)</t>
        </is>
      </c>
      <c r="H200" t="inlineStr">
        <is>
          <t>0001628280-25-003063</t>
        </is>
      </c>
      <c r="I200" t="inlineStr">
        <is>
          <t>Part II Item 8, Consolidated Balance Sheets, p.48</t>
        </is>
      </c>
      <c r="J200" t="inlineStr">
        <is>
          <t>Annual report (10-K)</t>
        </is>
      </c>
      <c r="K200" t="inlineStr">
        <is>
          <t>not XBRL-tagged (read from filing text)</t>
        </is>
      </c>
      <c r="L200" t="inlineStr"/>
      <c r="M200" t="inlineStr">
        <is>
          <t>https://www.sec.gov/Archives/edgar/data/1318605/000162828025003063/tsla-20241231.htm</t>
        </is>
      </c>
    </row>
    <row r="201">
      <c r="A201" t="inlineStr">
        <is>
          <t>st_investments</t>
        </is>
      </c>
      <c r="B201" t="inlineStr">
        <is>
          <t>Short-term investments</t>
        </is>
      </c>
      <c r="C201" t="inlineStr">
        <is>
          <t>Balance sheet</t>
        </is>
      </c>
      <c r="D201" t="inlineStr">
        <is>
          <t>FY2024</t>
        </is>
      </c>
      <c r="E201" s="4" t="n">
        <v>20424</v>
      </c>
      <c r="F201" t="inlineStr">
        <is>
          <t>USD m</t>
        </is>
      </c>
      <c r="G201" t="inlineStr">
        <is>
          <t>10-K - FY2025 (year ended 2025-12-31)</t>
        </is>
      </c>
      <c r="H201" t="inlineStr">
        <is>
          <t>0001628280-26-003952</t>
        </is>
      </c>
      <c r="I201" t="inlineStr">
        <is>
          <t>Part II Item 8, Consolidated Balance Sheets, p.49</t>
        </is>
      </c>
      <c r="J201" t="inlineStr">
        <is>
          <t>Annual report (10-K)</t>
        </is>
      </c>
      <c r="K201" t="inlineStr">
        <is>
          <t>not XBRL-tagged (read from filing text)</t>
        </is>
      </c>
      <c r="L201" t="inlineStr"/>
      <c r="M201" t="inlineStr">
        <is>
          <t>https://www.sec.gov/Archives/edgar/data/1318605/000162828026003952/tsla-20251231.htm</t>
        </is>
      </c>
    </row>
    <row r="202">
      <c r="A202" t="inlineStr">
        <is>
          <t>st_investments</t>
        </is>
      </c>
      <c r="B202" t="inlineStr">
        <is>
          <t>Short-term investments</t>
        </is>
      </c>
      <c r="C202" t="inlineStr">
        <is>
          <t>Balance sheet</t>
        </is>
      </c>
      <c r="D202" t="inlineStr">
        <is>
          <t>FY2025</t>
        </is>
      </c>
      <c r="E202" s="4" t="n">
        <v>27546</v>
      </c>
      <c r="F202" t="inlineStr">
        <is>
          <t>USD m</t>
        </is>
      </c>
      <c r="G202" t="inlineStr">
        <is>
          <t>10-K - FY2025 (year ended 2025-12-31)</t>
        </is>
      </c>
      <c r="H202" t="inlineStr">
        <is>
          <t>0001628280-26-003952</t>
        </is>
      </c>
      <c r="I202" t="inlineStr">
        <is>
          <t>Part II Item 8, Consolidated Balance Sheets, p.49</t>
        </is>
      </c>
      <c r="J202" t="inlineStr">
        <is>
          <t>Annual report (10-K)</t>
        </is>
      </c>
      <c r="K202" t="inlineStr">
        <is>
          <t>not XBRL-tagged (read from filing text)</t>
        </is>
      </c>
      <c r="L202" t="inlineStr"/>
      <c r="M202" t="inlineStr">
        <is>
          <t>https://www.sec.gov/Archives/edgar/data/1318605/000162828026003952/tsla-20251231.htm</t>
        </is>
      </c>
    </row>
    <row r="203">
      <c r="A203" t="inlineStr">
        <is>
          <t>st_investments</t>
        </is>
      </c>
      <c r="B203" t="inlineStr">
        <is>
          <t>Short-term investments</t>
        </is>
      </c>
      <c r="C203" t="inlineStr">
        <is>
          <t>Balance sheet</t>
        </is>
      </c>
      <c r="D203" t="inlineStr">
        <is>
          <t>Q2_2026</t>
        </is>
      </c>
      <c r="E203" s="4" t="n">
        <v>28305</v>
      </c>
      <c r="F203" t="inlineStr">
        <is>
          <t>USD m</t>
        </is>
      </c>
      <c r="G203" t="inlineStr">
        <is>
          <t>10-Q - Q2 2026 (quarter ended 2026-06-30)</t>
        </is>
      </c>
      <c r="H203" t="inlineStr">
        <is>
          <t>0001628280-26-049270</t>
        </is>
      </c>
      <c r="I203" t="inlineStr">
        <is>
          <t>Part I Item 1, Consolidated Balance Sheets, p.4</t>
        </is>
      </c>
      <c r="J203" t="inlineStr">
        <is>
          <t>Quarterly report (10-Q)</t>
        </is>
      </c>
      <c r="K203" t="inlineStr">
        <is>
          <t>not XBRL-tagged (read from filing text)</t>
        </is>
      </c>
      <c r="L203" t="inlineStr"/>
      <c r="M203" t="inlineStr">
        <is>
          <t>https://www.sec.gov/Archives/edgar/data/1318605/000162828026049270/tsla-20260630.htm</t>
        </is>
      </c>
    </row>
    <row r="204">
      <c r="A204" t="inlineStr">
        <is>
          <t>ar</t>
        </is>
      </c>
      <c r="B204" t="inlineStr">
        <is>
          <t>Accounts receivable, net</t>
        </is>
      </c>
      <c r="C204" t="inlineStr">
        <is>
          <t>Balance sheet</t>
        </is>
      </c>
      <c r="D204" t="inlineStr">
        <is>
          <t>FY2023</t>
        </is>
      </c>
      <c r="E204" s="4" t="n">
        <v>3508</v>
      </c>
      <c r="F204" t="inlineStr">
        <is>
          <t>USD m</t>
        </is>
      </c>
      <c r="G204" t="inlineStr">
        <is>
          <t>10-K - FY2024 (year ended 2024-12-31)</t>
        </is>
      </c>
      <c r="H204" t="inlineStr">
        <is>
          <t>0001628280-25-003063</t>
        </is>
      </c>
      <c r="I204" t="inlineStr">
        <is>
          <t>Part II Item 8, Consolidated Balance Sheets, p.48</t>
        </is>
      </c>
      <c r="J204" t="inlineStr">
        <is>
          <t>Annual report (10-K)</t>
        </is>
      </c>
      <c r="K204" t="inlineStr">
        <is>
          <t>not XBRL-tagged (read from filing text)</t>
        </is>
      </c>
      <c r="L204" t="inlineStr"/>
      <c r="M204" t="inlineStr">
        <is>
          <t>https://www.sec.gov/Archives/edgar/data/1318605/000162828025003063/tsla-20241231.htm</t>
        </is>
      </c>
    </row>
    <row r="205">
      <c r="A205" t="inlineStr">
        <is>
          <t>ar</t>
        </is>
      </c>
      <c r="B205" t="inlineStr">
        <is>
          <t>Accounts receivable, net</t>
        </is>
      </c>
      <c r="C205" t="inlineStr">
        <is>
          <t>Balance sheet</t>
        </is>
      </c>
      <c r="D205" t="inlineStr">
        <is>
          <t>FY2024</t>
        </is>
      </c>
      <c r="E205" s="4" t="n">
        <v>4418</v>
      </c>
      <c r="F205" t="inlineStr">
        <is>
          <t>USD m</t>
        </is>
      </c>
      <c r="G205" t="inlineStr">
        <is>
          <t>10-K - FY2025 (year ended 2025-12-31)</t>
        </is>
      </c>
      <c r="H205" t="inlineStr">
        <is>
          <t>0001628280-26-003952</t>
        </is>
      </c>
      <c r="I205" t="inlineStr">
        <is>
          <t>Part II Item 8, Consolidated Balance Sheets, p.49</t>
        </is>
      </c>
      <c r="J205" t="inlineStr">
        <is>
          <t>Annual report (10-K)</t>
        </is>
      </c>
      <c r="K205" t="inlineStr">
        <is>
          <t>not XBRL-tagged (read from filing text)</t>
        </is>
      </c>
      <c r="L205" t="inlineStr"/>
      <c r="M205" t="inlineStr">
        <is>
          <t>https://www.sec.gov/Archives/edgar/data/1318605/000162828026003952/tsla-20251231.htm</t>
        </is>
      </c>
    </row>
    <row r="206">
      <c r="A206" t="inlineStr">
        <is>
          <t>ar</t>
        </is>
      </c>
      <c r="B206" t="inlineStr">
        <is>
          <t>Accounts receivable, net</t>
        </is>
      </c>
      <c r="C206" t="inlineStr">
        <is>
          <t>Balance sheet</t>
        </is>
      </c>
      <c r="D206" t="inlineStr">
        <is>
          <t>FY2025</t>
        </is>
      </c>
      <c r="E206" s="4" t="n">
        <v>4576</v>
      </c>
      <c r="F206" t="inlineStr">
        <is>
          <t>USD m</t>
        </is>
      </c>
      <c r="G206" t="inlineStr">
        <is>
          <t>10-K - FY2025 (year ended 2025-12-31)</t>
        </is>
      </c>
      <c r="H206" t="inlineStr">
        <is>
          <t>0001628280-26-003952</t>
        </is>
      </c>
      <c r="I206" t="inlineStr">
        <is>
          <t>Part II Item 8, Consolidated Balance Sheets, p.49</t>
        </is>
      </c>
      <c r="J206" t="inlineStr">
        <is>
          <t>Annual report (10-K)</t>
        </is>
      </c>
      <c r="K206" t="inlineStr">
        <is>
          <t>not XBRL-tagged (read from filing text)</t>
        </is>
      </c>
      <c r="L206" t="inlineStr"/>
      <c r="M206" t="inlineStr">
        <is>
          <t>https://www.sec.gov/Archives/edgar/data/1318605/000162828026003952/tsla-20251231.htm</t>
        </is>
      </c>
    </row>
    <row r="207">
      <c r="A207" t="inlineStr">
        <is>
          <t>ar</t>
        </is>
      </c>
      <c r="B207" t="inlineStr">
        <is>
          <t>Accounts receivable, net</t>
        </is>
      </c>
      <c r="C207" t="inlineStr">
        <is>
          <t>Balance sheet</t>
        </is>
      </c>
      <c r="D207" t="inlineStr">
        <is>
          <t>Q2_2026</t>
        </is>
      </c>
      <c r="E207" s="4" t="n">
        <v>4087</v>
      </c>
      <c r="F207" t="inlineStr">
        <is>
          <t>USD m</t>
        </is>
      </c>
      <c r="G207" t="inlineStr">
        <is>
          <t>10-Q - Q2 2026 (quarter ended 2026-06-30)</t>
        </is>
      </c>
      <c r="H207" t="inlineStr">
        <is>
          <t>0001628280-26-049270</t>
        </is>
      </c>
      <c r="I207" t="inlineStr">
        <is>
          <t>Part I Item 1, Consolidated Balance Sheets, p.4</t>
        </is>
      </c>
      <c r="J207" t="inlineStr">
        <is>
          <t>Quarterly report (10-Q)</t>
        </is>
      </c>
      <c r="K207" t="inlineStr">
        <is>
          <t>not XBRL-tagged (read from filing text)</t>
        </is>
      </c>
      <c r="L207" t="inlineStr"/>
      <c r="M207" t="inlineStr">
        <is>
          <t>https://www.sec.gov/Archives/edgar/data/1318605/000162828026049270/tsla-20260630.htm</t>
        </is>
      </c>
    </row>
    <row r="208">
      <c r="A208" t="inlineStr">
        <is>
          <t>inventory</t>
        </is>
      </c>
      <c r="B208" t="inlineStr">
        <is>
          <t>Inventory</t>
        </is>
      </c>
      <c r="C208" t="inlineStr">
        <is>
          <t>Balance sheet</t>
        </is>
      </c>
      <c r="D208" t="inlineStr">
        <is>
          <t>FY2023</t>
        </is>
      </c>
      <c r="E208" s="4" t="n">
        <v>13626</v>
      </c>
      <c r="F208" t="inlineStr">
        <is>
          <t>USD m</t>
        </is>
      </c>
      <c r="G208" t="inlineStr">
        <is>
          <t>10-K - FY2024 (year ended 2024-12-31)</t>
        </is>
      </c>
      <c r="H208" t="inlineStr">
        <is>
          <t>0001628280-25-003063</t>
        </is>
      </c>
      <c r="I208" t="inlineStr">
        <is>
          <t>Part II Item 8, Consolidated Balance Sheets, p.48</t>
        </is>
      </c>
      <c r="J208" t="inlineStr">
        <is>
          <t>Annual report (10-K)</t>
        </is>
      </c>
      <c r="K208" t="inlineStr">
        <is>
          <t>not XBRL-tagged (read from filing text)</t>
        </is>
      </c>
      <c r="L208" t="inlineStr"/>
      <c r="M208" t="inlineStr">
        <is>
          <t>https://www.sec.gov/Archives/edgar/data/1318605/000162828025003063/tsla-20241231.htm</t>
        </is>
      </c>
    </row>
    <row r="209">
      <c r="A209" t="inlineStr">
        <is>
          <t>inventory</t>
        </is>
      </c>
      <c r="B209" t="inlineStr">
        <is>
          <t>Inventory</t>
        </is>
      </c>
      <c r="C209" t="inlineStr">
        <is>
          <t>Balance sheet</t>
        </is>
      </c>
      <c r="D209" t="inlineStr">
        <is>
          <t>FY2024</t>
        </is>
      </c>
      <c r="E209" s="4" t="n">
        <v>12017</v>
      </c>
      <c r="F209" t="inlineStr">
        <is>
          <t>USD m</t>
        </is>
      </c>
      <c r="G209" t="inlineStr">
        <is>
          <t>10-K - FY2025 (year ended 2025-12-31)</t>
        </is>
      </c>
      <c r="H209" t="inlineStr">
        <is>
          <t>0001628280-26-003952</t>
        </is>
      </c>
      <c r="I209" t="inlineStr">
        <is>
          <t>Part II Item 8, Consolidated Balance Sheets, p.49</t>
        </is>
      </c>
      <c r="J209" t="inlineStr">
        <is>
          <t>Annual report (10-K)</t>
        </is>
      </c>
      <c r="K209" t="inlineStr">
        <is>
          <t>not XBRL-tagged (read from filing text)</t>
        </is>
      </c>
      <c r="L209" t="inlineStr"/>
      <c r="M209" t="inlineStr">
        <is>
          <t>https://www.sec.gov/Archives/edgar/data/1318605/000162828026003952/tsla-20251231.htm</t>
        </is>
      </c>
    </row>
    <row r="210">
      <c r="A210" t="inlineStr">
        <is>
          <t>inventory</t>
        </is>
      </c>
      <c r="B210" t="inlineStr">
        <is>
          <t>Inventory</t>
        </is>
      </c>
      <c r="C210" t="inlineStr">
        <is>
          <t>Balance sheet</t>
        </is>
      </c>
      <c r="D210" t="inlineStr">
        <is>
          <t>FY2025</t>
        </is>
      </c>
      <c r="E210" s="4" t="n">
        <v>12392</v>
      </c>
      <c r="F210" t="inlineStr">
        <is>
          <t>USD m</t>
        </is>
      </c>
      <c r="G210" t="inlineStr">
        <is>
          <t>10-K - FY2025 (year ended 2025-12-31)</t>
        </is>
      </c>
      <c r="H210" t="inlineStr">
        <is>
          <t>0001628280-26-003952</t>
        </is>
      </c>
      <c r="I210" t="inlineStr">
        <is>
          <t>Part II Item 8, Consolidated Balance Sheets, p.49</t>
        </is>
      </c>
      <c r="J210" t="inlineStr">
        <is>
          <t>Annual report (10-K)</t>
        </is>
      </c>
      <c r="K210" t="inlineStr">
        <is>
          <t>not XBRL-tagged (read from filing text)</t>
        </is>
      </c>
      <c r="L210" t="inlineStr"/>
      <c r="M210" t="inlineStr">
        <is>
          <t>https://www.sec.gov/Archives/edgar/data/1318605/000162828026003952/tsla-20251231.htm</t>
        </is>
      </c>
    </row>
    <row r="211">
      <c r="A211" t="inlineStr">
        <is>
          <t>inventory</t>
        </is>
      </c>
      <c r="B211" t="inlineStr">
        <is>
          <t>Inventory</t>
        </is>
      </c>
      <c r="C211" t="inlineStr">
        <is>
          <t>Balance sheet</t>
        </is>
      </c>
      <c r="D211" t="inlineStr">
        <is>
          <t>Q2_2026</t>
        </is>
      </c>
      <c r="E211" s="4" t="n">
        <v>13752</v>
      </c>
      <c r="F211" t="inlineStr">
        <is>
          <t>USD m</t>
        </is>
      </c>
      <c r="G211" t="inlineStr">
        <is>
          <t>10-Q - Q2 2026 (quarter ended 2026-06-30)</t>
        </is>
      </c>
      <c r="H211" t="inlineStr">
        <is>
          <t>0001628280-26-049270</t>
        </is>
      </c>
      <c r="I211" t="inlineStr">
        <is>
          <t>Part I Item 1, Consolidated Balance Sheets, p.4</t>
        </is>
      </c>
      <c r="J211" t="inlineStr">
        <is>
          <t>Quarterly report (10-Q)</t>
        </is>
      </c>
      <c r="K211" t="inlineStr">
        <is>
          <t>not XBRL-tagged (read from filing text)</t>
        </is>
      </c>
      <c r="L211" t="inlineStr"/>
      <c r="M211" t="inlineStr">
        <is>
          <t>https://www.sec.gov/Archives/edgar/data/1318605/000162828026049270/tsla-20260630.htm</t>
        </is>
      </c>
    </row>
    <row r="212">
      <c r="A212" t="inlineStr">
        <is>
          <t>prepaid</t>
        </is>
      </c>
      <c r="B212" t="inlineStr">
        <is>
          <t>Prepaid expenses and other current assets</t>
        </is>
      </c>
      <c r="C212" t="inlineStr">
        <is>
          <t>Balance sheet</t>
        </is>
      </c>
      <c r="D212" t="inlineStr">
        <is>
          <t>FY2023</t>
        </is>
      </c>
      <c r="E212" s="4" t="n">
        <v>3388</v>
      </c>
      <c r="F212" t="inlineStr">
        <is>
          <t>USD m</t>
        </is>
      </c>
      <c r="G212" t="inlineStr">
        <is>
          <t>10-K - FY2024 (year ended 2024-12-31)</t>
        </is>
      </c>
      <c r="H212" t="inlineStr">
        <is>
          <t>0001628280-25-003063</t>
        </is>
      </c>
      <c r="I212" t="inlineStr">
        <is>
          <t>Part II Item 8, Consolidated Balance Sheets, p.48</t>
        </is>
      </c>
      <c r="J212" t="inlineStr">
        <is>
          <t>Annual report (10-K)</t>
        </is>
      </c>
      <c r="K212" t="inlineStr">
        <is>
          <t>not XBRL-tagged (read from filing text)</t>
        </is>
      </c>
      <c r="L212" t="inlineStr"/>
      <c r="M212" t="inlineStr">
        <is>
          <t>https://www.sec.gov/Archives/edgar/data/1318605/000162828025003063/tsla-20241231.htm</t>
        </is>
      </c>
    </row>
    <row r="213">
      <c r="A213" t="inlineStr">
        <is>
          <t>prepaid</t>
        </is>
      </c>
      <c r="B213" t="inlineStr">
        <is>
          <t>Prepaid expenses and other current assets</t>
        </is>
      </c>
      <c r="C213" t="inlineStr">
        <is>
          <t>Balance sheet</t>
        </is>
      </c>
      <c r="D213" t="inlineStr">
        <is>
          <t>FY2024</t>
        </is>
      </c>
      <c r="E213" s="4" t="n">
        <v>5362</v>
      </c>
      <c r="F213" t="inlineStr">
        <is>
          <t>USD m</t>
        </is>
      </c>
      <c r="G213" t="inlineStr">
        <is>
          <t>10-K - FY2025 (year ended 2025-12-31)</t>
        </is>
      </c>
      <c r="H213" t="inlineStr">
        <is>
          <t>0001628280-26-003952</t>
        </is>
      </c>
      <c r="I213" t="inlineStr">
        <is>
          <t>Part II Item 8, Consolidated Balance Sheets, p.49</t>
        </is>
      </c>
      <c r="J213" t="inlineStr">
        <is>
          <t>Annual report (10-K)</t>
        </is>
      </c>
      <c r="K213" t="inlineStr">
        <is>
          <t>not XBRL-tagged (read from filing text)</t>
        </is>
      </c>
      <c r="L213" t="inlineStr"/>
      <c r="M213" t="inlineStr">
        <is>
          <t>https://www.sec.gov/Archives/edgar/data/1318605/000162828026003952/tsla-20251231.htm</t>
        </is>
      </c>
    </row>
    <row r="214">
      <c r="A214" t="inlineStr">
        <is>
          <t>prepaid</t>
        </is>
      </c>
      <c r="B214" t="inlineStr">
        <is>
          <t>Prepaid expenses and other current assets</t>
        </is>
      </c>
      <c r="C214" t="inlineStr">
        <is>
          <t>Balance sheet</t>
        </is>
      </c>
      <c r="D214" t="inlineStr">
        <is>
          <t>FY2025</t>
        </is>
      </c>
      <c r="E214" s="4" t="n">
        <v>7615</v>
      </c>
      <c r="F214" t="inlineStr">
        <is>
          <t>USD m</t>
        </is>
      </c>
      <c r="G214" t="inlineStr">
        <is>
          <t>10-K - FY2025 (year ended 2025-12-31)</t>
        </is>
      </c>
      <c r="H214" t="inlineStr">
        <is>
          <t>0001628280-26-003952</t>
        </is>
      </c>
      <c r="I214" t="inlineStr">
        <is>
          <t>Part II Item 8, Consolidated Balance Sheets, p.49</t>
        </is>
      </c>
      <c r="J214" t="inlineStr">
        <is>
          <t>Annual report (10-K)</t>
        </is>
      </c>
      <c r="K214" t="inlineStr">
        <is>
          <t>not XBRL-tagged (read from filing text)</t>
        </is>
      </c>
      <c r="L214" t="inlineStr"/>
      <c r="M214" t="inlineStr">
        <is>
          <t>https://www.sec.gov/Archives/edgar/data/1318605/000162828026003952/tsla-20251231.htm</t>
        </is>
      </c>
    </row>
    <row r="215">
      <c r="A215" t="inlineStr">
        <is>
          <t>prepaid</t>
        </is>
      </c>
      <c r="B215" t="inlineStr">
        <is>
          <t>Prepaid expenses and other current assets</t>
        </is>
      </c>
      <c r="C215" t="inlineStr">
        <is>
          <t>Balance sheet</t>
        </is>
      </c>
      <c r="D215" t="inlineStr">
        <is>
          <t>Q2_2026</t>
        </is>
      </c>
      <c r="E215" s="4" t="n">
        <v>7395</v>
      </c>
      <c r="F215" t="inlineStr">
        <is>
          <t>USD m</t>
        </is>
      </c>
      <c r="G215" t="inlineStr">
        <is>
          <t>10-Q - Q2 2026 (quarter ended 2026-06-30)</t>
        </is>
      </c>
      <c r="H215" t="inlineStr">
        <is>
          <t>0001628280-26-049270</t>
        </is>
      </c>
      <c r="I215" t="inlineStr">
        <is>
          <t>Part I Item 1, Consolidated Balance Sheets, p.4</t>
        </is>
      </c>
      <c r="J215" t="inlineStr">
        <is>
          <t>Quarterly report (10-Q)</t>
        </is>
      </c>
      <c r="K215" t="inlineStr">
        <is>
          <t>not XBRL-tagged (read from filing text)</t>
        </is>
      </c>
      <c r="L215" t="inlineStr"/>
      <c r="M215" t="inlineStr">
        <is>
          <t>https://www.sec.gov/Archives/edgar/data/1318605/000162828026049270/tsla-20260630.htm</t>
        </is>
      </c>
    </row>
    <row r="216">
      <c r="A216" t="inlineStr">
        <is>
          <t>olv</t>
        </is>
      </c>
      <c r="B216" t="inlineStr">
        <is>
          <t>Operating lease vehicles, net</t>
        </is>
      </c>
      <c r="C216" t="inlineStr">
        <is>
          <t>Balance sheet</t>
        </is>
      </c>
      <c r="D216" t="inlineStr">
        <is>
          <t>FY2023</t>
        </is>
      </c>
      <c r="E216" s="4" t="n">
        <v>5989</v>
      </c>
      <c r="F216" t="inlineStr">
        <is>
          <t>USD m</t>
        </is>
      </c>
      <c r="G216" t="inlineStr">
        <is>
          <t>10-K - FY2024 (year ended 2024-12-31)</t>
        </is>
      </c>
      <c r="H216" t="inlineStr">
        <is>
          <t>0001628280-25-003063</t>
        </is>
      </c>
      <c r="I216" t="inlineStr">
        <is>
          <t>Part II Item 8, Consolidated Balance Sheets, p.48</t>
        </is>
      </c>
      <c r="J216" t="inlineStr">
        <is>
          <t>Annual report (10-K)</t>
        </is>
      </c>
      <c r="K216" t="inlineStr">
        <is>
          <t>not XBRL-tagged (read from filing text)</t>
        </is>
      </c>
      <c r="L216" t="inlineStr"/>
      <c r="M216" t="inlineStr">
        <is>
          <t>https://www.sec.gov/Archives/edgar/data/1318605/000162828025003063/tsla-20241231.htm</t>
        </is>
      </c>
    </row>
    <row r="217">
      <c r="A217" t="inlineStr">
        <is>
          <t>olv</t>
        </is>
      </c>
      <c r="B217" t="inlineStr">
        <is>
          <t>Operating lease vehicles, net</t>
        </is>
      </c>
      <c r="C217" t="inlineStr">
        <is>
          <t>Balance sheet</t>
        </is>
      </c>
      <c r="D217" t="inlineStr">
        <is>
          <t>FY2024</t>
        </is>
      </c>
      <c r="E217" s="4" t="n">
        <v>5581</v>
      </c>
      <c r="F217" t="inlineStr">
        <is>
          <t>USD m</t>
        </is>
      </c>
      <c r="G217" t="inlineStr">
        <is>
          <t>10-K - FY2025 (year ended 2025-12-31)</t>
        </is>
      </c>
      <c r="H217" t="inlineStr">
        <is>
          <t>0001628280-26-003952</t>
        </is>
      </c>
      <c r="I217" t="inlineStr">
        <is>
          <t>Part II Item 8, Consolidated Balance Sheets, p.49</t>
        </is>
      </c>
      <c r="J217" t="inlineStr">
        <is>
          <t>Annual report (10-K)</t>
        </is>
      </c>
      <c r="K217" t="inlineStr">
        <is>
          <t>not XBRL-tagged (read from filing text)</t>
        </is>
      </c>
      <c r="L217" t="inlineStr"/>
      <c r="M217" t="inlineStr">
        <is>
          <t>https://www.sec.gov/Archives/edgar/data/1318605/000162828026003952/tsla-20251231.htm</t>
        </is>
      </c>
    </row>
    <row r="218">
      <c r="A218" t="inlineStr">
        <is>
          <t>olv</t>
        </is>
      </c>
      <c r="B218" t="inlineStr">
        <is>
          <t>Operating lease vehicles, net</t>
        </is>
      </c>
      <c r="C218" t="inlineStr">
        <is>
          <t>Balance sheet</t>
        </is>
      </c>
      <c r="D218" t="inlineStr">
        <is>
          <t>FY2025</t>
        </is>
      </c>
      <c r="E218" s="4" t="n">
        <v>4912</v>
      </c>
      <c r="F218" t="inlineStr">
        <is>
          <t>USD m</t>
        </is>
      </c>
      <c r="G218" t="inlineStr">
        <is>
          <t>10-K - FY2025 (year ended 2025-12-31)</t>
        </is>
      </c>
      <c r="H218" t="inlineStr">
        <is>
          <t>0001628280-26-003952</t>
        </is>
      </c>
      <c r="I218" t="inlineStr">
        <is>
          <t>Part II Item 8, Consolidated Balance Sheets, p.49</t>
        </is>
      </c>
      <c r="J218" t="inlineStr">
        <is>
          <t>Annual report (10-K)</t>
        </is>
      </c>
      <c r="K218" t="inlineStr">
        <is>
          <t>not XBRL-tagged (read from filing text)</t>
        </is>
      </c>
      <c r="L218" t="inlineStr"/>
      <c r="M218" t="inlineStr">
        <is>
          <t>https://www.sec.gov/Archives/edgar/data/1318605/000162828026003952/tsla-20251231.htm</t>
        </is>
      </c>
    </row>
    <row r="219">
      <c r="A219" t="inlineStr">
        <is>
          <t>olv</t>
        </is>
      </c>
      <c r="B219" t="inlineStr">
        <is>
          <t>Operating lease vehicles, net</t>
        </is>
      </c>
      <c r="C219" t="inlineStr">
        <is>
          <t>Balance sheet</t>
        </is>
      </c>
      <c r="D219" t="inlineStr">
        <is>
          <t>Q2_2026</t>
        </is>
      </c>
      <c r="E219" s="4" t="n">
        <v>4253</v>
      </c>
      <c r="F219" t="inlineStr">
        <is>
          <t>USD m</t>
        </is>
      </c>
      <c r="G219" t="inlineStr">
        <is>
          <t>10-Q - Q2 2026 (quarter ended 2026-06-30)</t>
        </is>
      </c>
      <c r="H219" t="inlineStr">
        <is>
          <t>0001628280-26-049270</t>
        </is>
      </c>
      <c r="I219" t="inlineStr">
        <is>
          <t>Part I Item 1, Consolidated Balance Sheets, p.4</t>
        </is>
      </c>
      <c r="J219" t="inlineStr">
        <is>
          <t>Quarterly report (10-Q)</t>
        </is>
      </c>
      <c r="K219" t="inlineStr">
        <is>
          <t>not XBRL-tagged (read from filing text)</t>
        </is>
      </c>
      <c r="L219" t="inlineStr"/>
      <c r="M219" t="inlineStr">
        <is>
          <t>https://www.sec.gov/Archives/edgar/data/1318605/000162828026049270/tsla-20260630.htm</t>
        </is>
      </c>
    </row>
    <row r="220">
      <c r="A220" t="inlineStr">
        <is>
          <t>energy_systems</t>
        </is>
      </c>
      <c r="B220" t="inlineStr">
        <is>
          <t>Energy generation and storage systems, net</t>
        </is>
      </c>
      <c r="C220" t="inlineStr">
        <is>
          <t>Balance sheet</t>
        </is>
      </c>
      <c r="D220" t="inlineStr">
        <is>
          <t>FY2023</t>
        </is>
      </c>
      <c r="E220" s="4" t="n">
        <v>5229</v>
      </c>
      <c r="F220" t="inlineStr">
        <is>
          <t>USD m</t>
        </is>
      </c>
      <c r="G220" t="inlineStr">
        <is>
          <t>10-K - FY2024 (year ended 2024-12-31)</t>
        </is>
      </c>
      <c r="H220" t="inlineStr">
        <is>
          <t>0001628280-25-003063</t>
        </is>
      </c>
      <c r="I220" t="inlineStr">
        <is>
          <t>Part II Item 8, Consolidated Balance Sheets, p.48</t>
        </is>
      </c>
      <c r="J220" t="inlineStr">
        <is>
          <t>Annual report (10-K)</t>
        </is>
      </c>
      <c r="K220" t="inlineStr">
        <is>
          <t>not XBRL-tagged (read from filing text)</t>
        </is>
      </c>
      <c r="L220" t="inlineStr"/>
      <c r="M220" t="inlineStr">
        <is>
          <t>https://www.sec.gov/Archives/edgar/data/1318605/000162828025003063/tsla-20241231.htm</t>
        </is>
      </c>
    </row>
    <row r="221">
      <c r="A221" t="inlineStr">
        <is>
          <t>energy_systems</t>
        </is>
      </c>
      <c r="B221" t="inlineStr">
        <is>
          <t>Energy generation and storage systems, net</t>
        </is>
      </c>
      <c r="C221" t="inlineStr">
        <is>
          <t>Balance sheet</t>
        </is>
      </c>
      <c r="D221" t="inlineStr">
        <is>
          <t>FY2024</t>
        </is>
      </c>
      <c r="E221" s="4" t="n">
        <v>4924</v>
      </c>
      <c r="F221" t="inlineStr">
        <is>
          <t>USD m</t>
        </is>
      </c>
      <c r="G221" t="inlineStr">
        <is>
          <t>10-K - FY2025 (year ended 2025-12-31)</t>
        </is>
      </c>
      <c r="H221" t="inlineStr">
        <is>
          <t>0001628280-26-003952</t>
        </is>
      </c>
      <c r="I221" t="inlineStr">
        <is>
          <t>Part II Item 8, Consolidated Balance Sheets, p.49</t>
        </is>
      </c>
      <c r="J221" t="inlineStr">
        <is>
          <t>Annual report (10-K)</t>
        </is>
      </c>
      <c r="K221" t="inlineStr">
        <is>
          <t>not XBRL-tagged (read from filing text)</t>
        </is>
      </c>
      <c r="L221" t="inlineStr"/>
      <c r="M221" t="inlineStr">
        <is>
          <t>https://www.sec.gov/Archives/edgar/data/1318605/000162828026003952/tsla-20251231.htm</t>
        </is>
      </c>
    </row>
    <row r="222">
      <c r="A222" t="inlineStr">
        <is>
          <t>energy_systems</t>
        </is>
      </c>
      <c r="B222" t="inlineStr">
        <is>
          <t>Energy generation and storage systems, net</t>
        </is>
      </c>
      <c r="C222" t="inlineStr">
        <is>
          <t>Balance sheet</t>
        </is>
      </c>
      <c r="D222" t="inlineStr">
        <is>
          <t>FY2025</t>
        </is>
      </c>
      <c r="E222" s="4" t="n">
        <v>4604</v>
      </c>
      <c r="F222" t="inlineStr">
        <is>
          <t>USD m</t>
        </is>
      </c>
      <c r="G222" t="inlineStr">
        <is>
          <t>10-K - FY2025 (year ended 2025-12-31)</t>
        </is>
      </c>
      <c r="H222" t="inlineStr">
        <is>
          <t>0001628280-26-003952</t>
        </is>
      </c>
      <c r="I222" t="inlineStr">
        <is>
          <t>Part II Item 8, Consolidated Balance Sheets, p.49</t>
        </is>
      </c>
      <c r="J222" t="inlineStr">
        <is>
          <t>Annual report (10-K)</t>
        </is>
      </c>
      <c r="K222" t="inlineStr">
        <is>
          <t>not XBRL-tagged (read from filing text)</t>
        </is>
      </c>
      <c r="L222" t="inlineStr"/>
      <c r="M222" t="inlineStr">
        <is>
          <t>https://www.sec.gov/Archives/edgar/data/1318605/000162828026003952/tsla-20251231.htm</t>
        </is>
      </c>
    </row>
    <row r="223">
      <c r="A223" t="inlineStr">
        <is>
          <t>energy_systems</t>
        </is>
      </c>
      <c r="B223" t="inlineStr">
        <is>
          <t>Energy generation and storage systems, net</t>
        </is>
      </c>
      <c r="C223" t="inlineStr">
        <is>
          <t>Balance sheet</t>
        </is>
      </c>
      <c r="D223" t="inlineStr">
        <is>
          <t>Q2_2026</t>
        </is>
      </c>
      <c r="E223" s="4" t="n">
        <v>4510</v>
      </c>
      <c r="F223" t="inlineStr">
        <is>
          <t>USD m</t>
        </is>
      </c>
      <c r="G223" t="inlineStr">
        <is>
          <t>10-Q - Q2 2026 (quarter ended 2026-06-30)</t>
        </is>
      </c>
      <c r="H223" t="inlineStr">
        <is>
          <t>0001628280-26-049270</t>
        </is>
      </c>
      <c r="I223" t="inlineStr">
        <is>
          <t>Part I Item 1, Consolidated Balance Sheets, p.4</t>
        </is>
      </c>
      <c r="J223" t="inlineStr">
        <is>
          <t>Quarterly report (10-Q)</t>
        </is>
      </c>
      <c r="K223" t="inlineStr">
        <is>
          <t>not XBRL-tagged (read from filing text)</t>
        </is>
      </c>
      <c r="L223" t="inlineStr"/>
      <c r="M223" t="inlineStr">
        <is>
          <t>https://www.sec.gov/Archives/edgar/data/1318605/000162828026049270/tsla-20260630.htm</t>
        </is>
      </c>
    </row>
    <row r="224">
      <c r="A224" t="inlineStr">
        <is>
          <t>ppe</t>
        </is>
      </c>
      <c r="B224" t="inlineStr">
        <is>
          <t>Property, plant and equipment, net</t>
        </is>
      </c>
      <c r="C224" t="inlineStr">
        <is>
          <t>Balance sheet</t>
        </is>
      </c>
      <c r="D224" t="inlineStr">
        <is>
          <t>FY2023</t>
        </is>
      </c>
      <c r="E224" s="4" t="n">
        <v>29725</v>
      </c>
      <c r="F224" t="inlineStr">
        <is>
          <t>USD m</t>
        </is>
      </c>
      <c r="G224" t="inlineStr">
        <is>
          <t>10-K - FY2024 (year ended 2024-12-31)</t>
        </is>
      </c>
      <c r="H224" t="inlineStr">
        <is>
          <t>0001628280-25-003063</t>
        </is>
      </c>
      <c r="I224" t="inlineStr">
        <is>
          <t>Part II Item 8, Consolidated Balance Sheets, p.48</t>
        </is>
      </c>
      <c r="J224" t="inlineStr">
        <is>
          <t>Annual report (10-K)</t>
        </is>
      </c>
      <c r="K224" t="inlineStr">
        <is>
          <t>not XBRL-tagged (read from filing text)</t>
        </is>
      </c>
      <c r="L224" t="inlineStr"/>
      <c r="M224" t="inlineStr">
        <is>
          <t>https://www.sec.gov/Archives/edgar/data/1318605/000162828025003063/tsla-20241231.htm</t>
        </is>
      </c>
    </row>
    <row r="225">
      <c r="A225" t="inlineStr">
        <is>
          <t>ppe</t>
        </is>
      </c>
      <c r="B225" t="inlineStr">
        <is>
          <t>Property, plant and equipment, net</t>
        </is>
      </c>
      <c r="C225" t="inlineStr">
        <is>
          <t>Balance sheet</t>
        </is>
      </c>
      <c r="D225" t="inlineStr">
        <is>
          <t>FY2024</t>
        </is>
      </c>
      <c r="E225" s="4" t="n">
        <v>35836</v>
      </c>
      <c r="F225" t="inlineStr">
        <is>
          <t>USD m</t>
        </is>
      </c>
      <c r="G225" t="inlineStr">
        <is>
          <t>10-K - FY2025 (year ended 2025-12-31)</t>
        </is>
      </c>
      <c r="H225" t="inlineStr">
        <is>
          <t>0001628280-26-003952</t>
        </is>
      </c>
      <c r="I225" t="inlineStr">
        <is>
          <t>Part II Item 8, Consolidated Balance Sheets, p.49</t>
        </is>
      </c>
      <c r="J225" t="inlineStr">
        <is>
          <t>Annual report (10-K)</t>
        </is>
      </c>
      <c r="K225" t="inlineStr">
        <is>
          <t>not XBRL-tagged (read from filing text)</t>
        </is>
      </c>
      <c r="L225" t="inlineStr"/>
      <c r="M225" t="inlineStr">
        <is>
          <t>https://www.sec.gov/Archives/edgar/data/1318605/000162828026003952/tsla-20251231.htm</t>
        </is>
      </c>
    </row>
    <row r="226">
      <c r="A226" t="inlineStr">
        <is>
          <t>ppe</t>
        </is>
      </c>
      <c r="B226" t="inlineStr">
        <is>
          <t>Property, plant and equipment, net</t>
        </is>
      </c>
      <c r="C226" t="inlineStr">
        <is>
          <t>Balance sheet</t>
        </is>
      </c>
      <c r="D226" t="inlineStr">
        <is>
          <t>FY2025</t>
        </is>
      </c>
      <c r="E226" s="4" t="n">
        <v>40643</v>
      </c>
      <c r="F226" t="inlineStr">
        <is>
          <t>USD m</t>
        </is>
      </c>
      <c r="G226" t="inlineStr">
        <is>
          <t>10-K - FY2025 (year ended 2025-12-31)</t>
        </is>
      </c>
      <c r="H226" t="inlineStr">
        <is>
          <t>0001628280-26-003952</t>
        </is>
      </c>
      <c r="I226" t="inlineStr">
        <is>
          <t>Part II Item 8, Consolidated Balance Sheets, p.49</t>
        </is>
      </c>
      <c r="J226" t="inlineStr">
        <is>
          <t>Annual report (10-K)</t>
        </is>
      </c>
      <c r="K226" t="inlineStr">
        <is>
          <t>not XBRL-tagged (read from filing text)</t>
        </is>
      </c>
      <c r="L226" t="inlineStr"/>
      <c r="M226" t="inlineStr">
        <is>
          <t>https://www.sec.gov/Archives/edgar/data/1318605/000162828026003952/tsla-20251231.htm</t>
        </is>
      </c>
    </row>
    <row r="227">
      <c r="A227" t="inlineStr">
        <is>
          <t>ppe</t>
        </is>
      </c>
      <c r="B227" t="inlineStr">
        <is>
          <t>Property, plant and equipment, net</t>
        </is>
      </c>
      <c r="C227" t="inlineStr">
        <is>
          <t>Balance sheet</t>
        </is>
      </c>
      <c r="D227" t="inlineStr">
        <is>
          <t>Q2_2026</t>
        </is>
      </c>
      <c r="E227" s="4" t="n">
        <v>47255</v>
      </c>
      <c r="F227" t="inlineStr">
        <is>
          <t>USD m</t>
        </is>
      </c>
      <c r="G227" t="inlineStr">
        <is>
          <t>10-Q - Q2 2026 (quarter ended 2026-06-30)</t>
        </is>
      </c>
      <c r="H227" t="inlineStr">
        <is>
          <t>0001628280-26-049270</t>
        </is>
      </c>
      <c r="I227" t="inlineStr">
        <is>
          <t>Part I Item 1, Consolidated Balance Sheets, p.4</t>
        </is>
      </c>
      <c r="J227" t="inlineStr">
        <is>
          <t>Quarterly report (10-Q)</t>
        </is>
      </c>
      <c r="K227" t="inlineStr">
        <is>
          <t>not XBRL-tagged (read from filing text)</t>
        </is>
      </c>
      <c r="L227" t="inlineStr"/>
      <c r="M227" t="inlineStr">
        <is>
          <t>https://www.sec.gov/Archives/edgar/data/1318605/000162828026049270/tsla-20260630.htm</t>
        </is>
      </c>
    </row>
    <row r="228">
      <c r="A228" t="inlineStr">
        <is>
          <t>rou</t>
        </is>
      </c>
      <c r="B228" t="inlineStr">
        <is>
          <t>Operating lease right-of-use assets</t>
        </is>
      </c>
      <c r="C228" t="inlineStr">
        <is>
          <t>Balance sheet</t>
        </is>
      </c>
      <c r="D228" t="inlineStr">
        <is>
          <t>FY2023</t>
        </is>
      </c>
      <c r="E228" s="4" t="n">
        <v>4180</v>
      </c>
      <c r="F228" t="inlineStr">
        <is>
          <t>USD m</t>
        </is>
      </c>
      <c r="G228" t="inlineStr">
        <is>
          <t>10-K - FY2024 (year ended 2024-12-31)</t>
        </is>
      </c>
      <c r="H228" t="inlineStr">
        <is>
          <t>0001628280-25-003063</t>
        </is>
      </c>
      <c r="I228" t="inlineStr">
        <is>
          <t>Part II Item 8, Consolidated Balance Sheets, p.48</t>
        </is>
      </c>
      <c r="J228" t="inlineStr">
        <is>
          <t>Annual report (10-K)</t>
        </is>
      </c>
      <c r="K228" t="inlineStr">
        <is>
          <t>not XBRL-tagged (read from filing text)</t>
        </is>
      </c>
      <c r="L228" t="inlineStr"/>
      <c r="M228" t="inlineStr">
        <is>
          <t>https://www.sec.gov/Archives/edgar/data/1318605/000162828025003063/tsla-20241231.htm</t>
        </is>
      </c>
    </row>
    <row r="229">
      <c r="A229" t="inlineStr">
        <is>
          <t>rou</t>
        </is>
      </c>
      <c r="B229" t="inlineStr">
        <is>
          <t>Operating lease right-of-use assets</t>
        </is>
      </c>
      <c r="C229" t="inlineStr">
        <is>
          <t>Balance sheet</t>
        </is>
      </c>
      <c r="D229" t="inlineStr">
        <is>
          <t>FY2024</t>
        </is>
      </c>
      <c r="E229" s="4" t="n">
        <v>5160</v>
      </c>
      <c r="F229" t="inlineStr">
        <is>
          <t>USD m</t>
        </is>
      </c>
      <c r="G229" t="inlineStr">
        <is>
          <t>10-K - FY2025 (year ended 2025-12-31)</t>
        </is>
      </c>
      <c r="H229" t="inlineStr">
        <is>
          <t>0001628280-26-003952</t>
        </is>
      </c>
      <c r="I229" t="inlineStr">
        <is>
          <t>Part II Item 8, Consolidated Balance Sheets, p.49</t>
        </is>
      </c>
      <c r="J229" t="inlineStr">
        <is>
          <t>Annual report (10-K)</t>
        </is>
      </c>
      <c r="K229" t="inlineStr">
        <is>
          <t>not XBRL-tagged (read from filing text)</t>
        </is>
      </c>
      <c r="L229" t="inlineStr"/>
      <c r="M229" t="inlineStr">
        <is>
          <t>https://www.sec.gov/Archives/edgar/data/1318605/000162828026003952/tsla-20251231.htm</t>
        </is>
      </c>
    </row>
    <row r="230">
      <c r="A230" t="inlineStr">
        <is>
          <t>rou</t>
        </is>
      </c>
      <c r="B230" t="inlineStr">
        <is>
          <t>Operating lease right-of-use assets</t>
        </is>
      </c>
      <c r="C230" t="inlineStr">
        <is>
          <t>Balance sheet</t>
        </is>
      </c>
      <c r="D230" t="inlineStr">
        <is>
          <t>FY2025</t>
        </is>
      </c>
      <c r="E230" s="4" t="n">
        <v>6027</v>
      </c>
      <c r="F230" t="inlineStr">
        <is>
          <t>USD m</t>
        </is>
      </c>
      <c r="G230" t="inlineStr">
        <is>
          <t>10-K - FY2025 (year ended 2025-12-31)</t>
        </is>
      </c>
      <c r="H230" t="inlineStr">
        <is>
          <t>0001628280-26-003952</t>
        </is>
      </c>
      <c r="I230" t="inlineStr">
        <is>
          <t>Part II Item 8, Consolidated Balance Sheets, p.49</t>
        </is>
      </c>
      <c r="J230" t="inlineStr">
        <is>
          <t>Annual report (10-K)</t>
        </is>
      </c>
      <c r="K230" t="inlineStr">
        <is>
          <t>not XBRL-tagged (read from filing text)</t>
        </is>
      </c>
      <c r="L230" t="inlineStr"/>
      <c r="M230" t="inlineStr">
        <is>
          <t>https://www.sec.gov/Archives/edgar/data/1318605/000162828026003952/tsla-20251231.htm</t>
        </is>
      </c>
    </row>
    <row r="231">
      <c r="A231" t="inlineStr">
        <is>
          <t>rou</t>
        </is>
      </c>
      <c r="B231" t="inlineStr">
        <is>
          <t>Operating lease right-of-use assets</t>
        </is>
      </c>
      <c r="C231" t="inlineStr">
        <is>
          <t>Balance sheet</t>
        </is>
      </c>
      <c r="D231" t="inlineStr">
        <is>
          <t>Q2_2026</t>
        </is>
      </c>
      <c r="E231" s="4" t="n">
        <v>6386</v>
      </c>
      <c r="F231" t="inlineStr">
        <is>
          <t>USD m</t>
        </is>
      </c>
      <c r="G231" t="inlineStr">
        <is>
          <t>10-Q - Q2 2026 (quarter ended 2026-06-30)</t>
        </is>
      </c>
      <c r="H231" t="inlineStr">
        <is>
          <t>0001628280-26-049270</t>
        </is>
      </c>
      <c r="I231" t="inlineStr">
        <is>
          <t>Part I Item 1, Consolidated Balance Sheets, p.4</t>
        </is>
      </c>
      <c r="J231" t="inlineStr">
        <is>
          <t>Quarterly report (10-Q)</t>
        </is>
      </c>
      <c r="K231" t="inlineStr">
        <is>
          <t>not XBRL-tagged (read from filing text)</t>
        </is>
      </c>
      <c r="L231" t="inlineStr"/>
      <c r="M231" t="inlineStr">
        <is>
          <t>https://www.sec.gov/Archives/edgar/data/1318605/000162828026049270/tsla-20260630.htm</t>
        </is>
      </c>
    </row>
    <row r="232">
      <c r="A232" t="inlineStr">
        <is>
          <t>digital_assets</t>
        </is>
      </c>
      <c r="B232" t="inlineStr">
        <is>
          <t>Digital assets</t>
        </is>
      </c>
      <c r="C232" t="inlineStr">
        <is>
          <t>Balance sheet</t>
        </is>
      </c>
      <c r="D232" t="inlineStr">
        <is>
          <t>FY2023</t>
        </is>
      </c>
      <c r="E232" s="4" t="n">
        <v>184</v>
      </c>
      <c r="F232" t="inlineStr">
        <is>
          <t>USD m</t>
        </is>
      </c>
      <c r="G232" t="inlineStr">
        <is>
          <t>10-K - FY2024 (year ended 2024-12-31)</t>
        </is>
      </c>
      <c r="H232" t="inlineStr">
        <is>
          <t>0001628280-25-003063</t>
        </is>
      </c>
      <c r="I232" t="inlineStr">
        <is>
          <t>Part II Item 8, Consolidated Balance Sheets, p.48</t>
        </is>
      </c>
      <c r="J232" t="inlineStr">
        <is>
          <t>Annual report (10-K)</t>
        </is>
      </c>
      <c r="K232" t="inlineStr">
        <is>
          <t>not XBRL-tagged (read from filing text)</t>
        </is>
      </c>
      <c r="L232" t="inlineStr"/>
      <c r="M232" t="inlineStr">
        <is>
          <t>https://www.sec.gov/Archives/edgar/data/1318605/000162828025003063/tsla-20241231.htm</t>
        </is>
      </c>
    </row>
    <row r="233">
      <c r="A233" t="inlineStr">
        <is>
          <t>digital_assets</t>
        </is>
      </c>
      <c r="B233" t="inlineStr">
        <is>
          <t>Digital assets</t>
        </is>
      </c>
      <c r="C233" t="inlineStr">
        <is>
          <t>Balance sheet</t>
        </is>
      </c>
      <c r="D233" t="inlineStr">
        <is>
          <t>FY2024</t>
        </is>
      </c>
      <c r="E233" s="4" t="n">
        <v>1076</v>
      </c>
      <c r="F233" t="inlineStr">
        <is>
          <t>USD m</t>
        </is>
      </c>
      <c r="G233" t="inlineStr">
        <is>
          <t>10-K - FY2025 (year ended 2025-12-31)</t>
        </is>
      </c>
      <c r="H233" t="inlineStr">
        <is>
          <t>0001628280-26-003952</t>
        </is>
      </c>
      <c r="I233" t="inlineStr">
        <is>
          <t>Part II Item 8, Consolidated Balance Sheets, p.49</t>
        </is>
      </c>
      <c r="J233" t="inlineStr">
        <is>
          <t>Annual report (10-K)</t>
        </is>
      </c>
      <c r="K233" t="inlineStr">
        <is>
          <t>not XBRL-tagged (read from filing text)</t>
        </is>
      </c>
      <c r="L233" t="inlineStr"/>
      <c r="M233" t="inlineStr">
        <is>
          <t>https://www.sec.gov/Archives/edgar/data/1318605/000162828026003952/tsla-20251231.htm</t>
        </is>
      </c>
    </row>
    <row r="234">
      <c r="A234" t="inlineStr">
        <is>
          <t>digital_assets</t>
        </is>
      </c>
      <c r="B234" t="inlineStr">
        <is>
          <t>Digital assets</t>
        </is>
      </c>
      <c r="C234" t="inlineStr">
        <is>
          <t>Balance sheet</t>
        </is>
      </c>
      <c r="D234" t="inlineStr">
        <is>
          <t>FY2025</t>
        </is>
      </c>
      <c r="E234" s="4" t="n">
        <v>1008</v>
      </c>
      <c r="F234" t="inlineStr">
        <is>
          <t>USD m</t>
        </is>
      </c>
      <c r="G234" t="inlineStr">
        <is>
          <t>10-K - FY2025 (year ended 2025-12-31)</t>
        </is>
      </c>
      <c r="H234" t="inlineStr">
        <is>
          <t>0001628280-26-003952</t>
        </is>
      </c>
      <c r="I234" t="inlineStr">
        <is>
          <t>Part II Item 8, Consolidated Balance Sheets, p.49</t>
        </is>
      </c>
      <c r="J234" t="inlineStr">
        <is>
          <t>Annual report (10-K)</t>
        </is>
      </c>
      <c r="K234" t="inlineStr">
        <is>
          <t>not XBRL-tagged (read from filing text)</t>
        </is>
      </c>
      <c r="L234" t="inlineStr"/>
      <c r="M234" t="inlineStr">
        <is>
          <t>https://www.sec.gov/Archives/edgar/data/1318605/000162828026003952/tsla-20251231.htm</t>
        </is>
      </c>
    </row>
    <row r="235">
      <c r="A235" t="inlineStr">
        <is>
          <t>digital_assets</t>
        </is>
      </c>
      <c r="B235" t="inlineStr">
        <is>
          <t>Digital assets</t>
        </is>
      </c>
      <c r="C235" t="inlineStr">
        <is>
          <t>Balance sheet</t>
        </is>
      </c>
      <c r="D235" t="inlineStr">
        <is>
          <t>Q2_2026</t>
        </is>
      </c>
      <c r="E235" s="4" t="n">
        <v>674</v>
      </c>
      <c r="F235" t="inlineStr">
        <is>
          <t>USD m</t>
        </is>
      </c>
      <c r="G235" t="inlineStr">
        <is>
          <t>10-Q - Q2 2026 (quarter ended 2026-06-30)</t>
        </is>
      </c>
      <c r="H235" t="inlineStr">
        <is>
          <t>0001628280-26-049270</t>
        </is>
      </c>
      <c r="I235" t="inlineStr">
        <is>
          <t>Part I Item 1, Consolidated Balance Sheets, p.4</t>
        </is>
      </c>
      <c r="J235" t="inlineStr">
        <is>
          <t>Quarterly report (10-Q)</t>
        </is>
      </c>
      <c r="K235" t="inlineStr">
        <is>
          <t>not XBRL-tagged (read from filing text)</t>
        </is>
      </c>
      <c r="L235" t="inlineStr"/>
      <c r="M235" t="inlineStr">
        <is>
          <t>https://www.sec.gov/Archives/edgar/data/1318605/000162828026049270/tsla-20260630.htm</t>
        </is>
      </c>
    </row>
    <row r="236">
      <c r="A236" t="inlineStr">
        <is>
          <t>dta</t>
        </is>
      </c>
      <c r="B236" t="inlineStr">
        <is>
          <t>Deferred tax assets</t>
        </is>
      </c>
      <c r="C236" t="inlineStr">
        <is>
          <t>Balance sheet</t>
        </is>
      </c>
      <c r="D236" t="inlineStr">
        <is>
          <t>FY2023</t>
        </is>
      </c>
      <c r="E236" s="4" t="n">
        <v>6733</v>
      </c>
      <c r="F236" t="inlineStr">
        <is>
          <t>USD m</t>
        </is>
      </c>
      <c r="G236" t="inlineStr">
        <is>
          <t>10-K - FY2024 (year ended 2024-12-31)</t>
        </is>
      </c>
      <c r="H236" t="inlineStr">
        <is>
          <t>0001628280-25-003063</t>
        </is>
      </c>
      <c r="I236" t="inlineStr">
        <is>
          <t>Part II Item 8, Consolidated Balance Sheets, p.48</t>
        </is>
      </c>
      <c r="J236" t="inlineStr">
        <is>
          <t>Annual report (10-K)</t>
        </is>
      </c>
      <c r="K236" t="inlineStr">
        <is>
          <t>not XBRL-tagged (read from filing text)</t>
        </is>
      </c>
      <c r="L236" t="inlineStr"/>
      <c r="M236" t="inlineStr">
        <is>
          <t>https://www.sec.gov/Archives/edgar/data/1318605/000162828025003063/tsla-20241231.htm</t>
        </is>
      </c>
    </row>
    <row r="237">
      <c r="A237" t="inlineStr">
        <is>
          <t>dta</t>
        </is>
      </c>
      <c r="B237" t="inlineStr">
        <is>
          <t>Deferred tax assets</t>
        </is>
      </c>
      <c r="C237" t="inlineStr">
        <is>
          <t>Balance sheet</t>
        </is>
      </c>
      <c r="D237" t="inlineStr">
        <is>
          <t>FY2024</t>
        </is>
      </c>
      <c r="E237" s="4" t="n">
        <v>6524</v>
      </c>
      <c r="F237" t="inlineStr">
        <is>
          <t>USD m</t>
        </is>
      </c>
      <c r="G237" t="inlineStr">
        <is>
          <t>10-K - FY2025 (year ended 2025-12-31)</t>
        </is>
      </c>
      <c r="H237" t="inlineStr">
        <is>
          <t>0001628280-26-003952</t>
        </is>
      </c>
      <c r="I237" t="inlineStr">
        <is>
          <t>Part II Item 8, Consolidated Balance Sheets, p.49</t>
        </is>
      </c>
      <c r="J237" t="inlineStr">
        <is>
          <t>Annual report (10-K)</t>
        </is>
      </c>
      <c r="K237" t="inlineStr">
        <is>
          <t>not XBRL-tagged (read from filing text)</t>
        </is>
      </c>
      <c r="L237" t="inlineStr"/>
      <c r="M237" t="inlineStr">
        <is>
          <t>https://www.sec.gov/Archives/edgar/data/1318605/000162828026003952/tsla-20251231.htm</t>
        </is>
      </c>
    </row>
    <row r="238">
      <c r="A238" t="inlineStr">
        <is>
          <t>dta</t>
        </is>
      </c>
      <c r="B238" t="inlineStr">
        <is>
          <t>Deferred tax assets</t>
        </is>
      </c>
      <c r="C238" t="inlineStr">
        <is>
          <t>Balance sheet</t>
        </is>
      </c>
      <c r="D238" t="inlineStr">
        <is>
          <t>FY2025</t>
        </is>
      </c>
      <c r="E238" s="4" t="n">
        <v>6925</v>
      </c>
      <c r="F238" t="inlineStr">
        <is>
          <t>USD m</t>
        </is>
      </c>
      <c r="G238" t="inlineStr">
        <is>
          <t>10-K - FY2025 (year ended 2025-12-31)</t>
        </is>
      </c>
      <c r="H238" t="inlineStr">
        <is>
          <t>0001628280-26-003952</t>
        </is>
      </c>
      <c r="I238" t="inlineStr">
        <is>
          <t>Part II Item 8, Consolidated Balance Sheets, p.49</t>
        </is>
      </c>
      <c r="J238" t="inlineStr">
        <is>
          <t>Annual report (10-K)</t>
        </is>
      </c>
      <c r="K238" t="inlineStr">
        <is>
          <t>not XBRL-tagged (read from filing text)</t>
        </is>
      </c>
      <c r="L238" t="inlineStr"/>
      <c r="M238" t="inlineStr">
        <is>
          <t>https://www.sec.gov/Archives/edgar/data/1318605/000162828026003952/tsla-20251231.htm</t>
        </is>
      </c>
    </row>
    <row r="239">
      <c r="A239" t="inlineStr">
        <is>
          <t>dta</t>
        </is>
      </c>
      <c r="B239" t="inlineStr">
        <is>
          <t>Deferred tax assets</t>
        </is>
      </c>
      <c r="C239" t="inlineStr">
        <is>
          <t>Balance sheet</t>
        </is>
      </c>
      <c r="D239" t="inlineStr">
        <is>
          <t>Q2_2026</t>
        </is>
      </c>
      <c r="E239" s="4" t="n">
        <v>7235</v>
      </c>
      <c r="F239" t="inlineStr">
        <is>
          <t>USD m</t>
        </is>
      </c>
      <c r="G239" t="inlineStr">
        <is>
          <t>10-Q - Q2 2026 (quarter ended 2026-06-30)</t>
        </is>
      </c>
      <c r="H239" t="inlineStr">
        <is>
          <t>0001628280-26-049270</t>
        </is>
      </c>
      <c r="I239" t="inlineStr">
        <is>
          <t>Part I Item 1, Consolidated Balance Sheets, p.4</t>
        </is>
      </c>
      <c r="J239" t="inlineStr">
        <is>
          <t>Quarterly report (10-Q)</t>
        </is>
      </c>
      <c r="K239" t="inlineStr">
        <is>
          <t>not XBRL-tagged (read from filing text)</t>
        </is>
      </c>
      <c r="L239" t="inlineStr"/>
      <c r="M239" t="inlineStr">
        <is>
          <t>https://www.sec.gov/Archives/edgar/data/1318605/000162828026049270/tsla-20260630.htm</t>
        </is>
      </c>
    </row>
    <row r="240">
      <c r="A240" t="inlineStr">
        <is>
          <t>other_nca</t>
        </is>
      </c>
      <c r="B240" t="inlineStr">
        <is>
          <t>Other non-current assets (incl. goodwill &amp; intangibles)</t>
        </is>
      </c>
      <c r="C240" t="inlineStr">
        <is>
          <t>Balance sheet</t>
        </is>
      </c>
      <c r="D240" t="inlineStr">
        <is>
          <t>FY2023</t>
        </is>
      </c>
      <c r="E240" s="4" t="n">
        <v>4962</v>
      </c>
      <c r="F240" t="inlineStr">
        <is>
          <t>USD m</t>
        </is>
      </c>
      <c r="G240" t="inlineStr">
        <is>
          <t>10-K - FY2024 (year ended 2024-12-31)</t>
        </is>
      </c>
      <c r="H240" t="inlineStr">
        <is>
          <t>0001628280-25-003063</t>
        </is>
      </c>
      <c r="I240" t="inlineStr">
        <is>
          <t>Part II Item 8, Consolidated Balance Sheets, p.48</t>
        </is>
      </c>
      <c r="J240" t="inlineStr">
        <is>
          <t>Annual report (10-K)</t>
        </is>
      </c>
      <c r="K240" t="inlineStr">
        <is>
          <t>not XBRL-tagged (read from filing text)</t>
        </is>
      </c>
      <c r="L240" t="inlineStr">
        <is>
          <t>FY2023 = 4,531 other + 178 intangibles + 253 goodwill as presented in the FY2024 10-K; FY2025 10-K presents these combined.</t>
        </is>
      </c>
      <c r="M240" t="inlineStr">
        <is>
          <t>https://www.sec.gov/Archives/edgar/data/1318605/000162828025003063/tsla-20241231.htm</t>
        </is>
      </c>
    </row>
    <row r="241">
      <c r="A241" t="inlineStr">
        <is>
          <t>other_nca</t>
        </is>
      </c>
      <c r="B241" t="inlineStr">
        <is>
          <t>Other non-current assets (incl. goodwill &amp; intangibles)</t>
        </is>
      </c>
      <c r="C241" t="inlineStr">
        <is>
          <t>Balance sheet</t>
        </is>
      </c>
      <c r="D241" t="inlineStr">
        <is>
          <t>FY2024</t>
        </is>
      </c>
      <c r="E241" s="4" t="n">
        <v>4609</v>
      </c>
      <c r="F241" t="inlineStr">
        <is>
          <t>USD m</t>
        </is>
      </c>
      <c r="G241" t="inlineStr">
        <is>
          <t>10-K - FY2025 (year ended 2025-12-31)</t>
        </is>
      </c>
      <c r="H241" t="inlineStr">
        <is>
          <t>0001628280-26-003952</t>
        </is>
      </c>
      <c r="I241" t="inlineStr">
        <is>
          <t>Part II Item 8, Consolidated Balance Sheets, p.49</t>
        </is>
      </c>
      <c r="J241" t="inlineStr">
        <is>
          <t>Annual report (10-K)</t>
        </is>
      </c>
      <c r="K241" t="inlineStr">
        <is>
          <t>not XBRL-tagged (read from filing text)</t>
        </is>
      </c>
      <c r="L241" t="inlineStr">
        <is>
          <t>FY2023 = 4,531 other + 178 intangibles + 253 goodwill as presented in the FY2024 10-K; FY2025 10-K presents these combined.</t>
        </is>
      </c>
      <c r="M241" t="inlineStr">
        <is>
          <t>https://www.sec.gov/Archives/edgar/data/1318605/000162828026003952/tsla-20251231.htm</t>
        </is>
      </c>
    </row>
    <row r="242">
      <c r="A242" t="inlineStr">
        <is>
          <t>other_nca</t>
        </is>
      </c>
      <c r="B242" t="inlineStr">
        <is>
          <t>Other non-current assets (incl. goodwill &amp; intangibles)</t>
        </is>
      </c>
      <c r="C242" t="inlineStr">
        <is>
          <t>Balance sheet</t>
        </is>
      </c>
      <c r="D242" t="inlineStr">
        <is>
          <t>FY2025</t>
        </is>
      </c>
      <c r="E242" s="4" t="n">
        <v>5045</v>
      </c>
      <c r="F242" t="inlineStr">
        <is>
          <t>USD m</t>
        </is>
      </c>
      <c r="G242" t="inlineStr">
        <is>
          <t>10-K - FY2025 (year ended 2025-12-31)</t>
        </is>
      </c>
      <c r="H242" t="inlineStr">
        <is>
          <t>0001628280-26-003952</t>
        </is>
      </c>
      <c r="I242" t="inlineStr">
        <is>
          <t>Part II Item 8, Consolidated Balance Sheets, p.49</t>
        </is>
      </c>
      <c r="J242" t="inlineStr">
        <is>
          <t>Annual report (10-K)</t>
        </is>
      </c>
      <c r="K242" t="inlineStr">
        <is>
          <t>not XBRL-tagged (read from filing text)</t>
        </is>
      </c>
      <c r="L242" t="inlineStr">
        <is>
          <t>FY2023 = 4,531 other + 178 intangibles + 253 goodwill as presented in the FY2024 10-K; FY2025 10-K presents these combined.</t>
        </is>
      </c>
      <c r="M242" t="inlineStr">
        <is>
          <t>https://www.sec.gov/Archives/edgar/data/1318605/000162828026003952/tsla-20251231.htm</t>
        </is>
      </c>
    </row>
    <row r="243">
      <c r="A243" t="inlineStr">
        <is>
          <t>other_nca</t>
        </is>
      </c>
      <c r="B243" t="inlineStr">
        <is>
          <t>Other non-current assets (incl. goodwill &amp; intangibles)</t>
        </is>
      </c>
      <c r="C243" t="inlineStr">
        <is>
          <t>Balance sheet</t>
        </is>
      </c>
      <c r="D243" t="inlineStr">
        <is>
          <t>Q2_2026</t>
        </is>
      </c>
      <c r="E243" s="4" t="n">
        <v>9453</v>
      </c>
      <c r="F243" t="inlineStr">
        <is>
          <t>USD m</t>
        </is>
      </c>
      <c r="G243" t="inlineStr">
        <is>
          <t>10-Q - Q2 2026 (quarter ended 2026-06-30)</t>
        </is>
      </c>
      <c r="H243" t="inlineStr">
        <is>
          <t>0001628280-26-049270</t>
        </is>
      </c>
      <c r="I243" t="inlineStr">
        <is>
          <t>Part I Item 1, Consolidated Balance Sheets, p.4</t>
        </is>
      </c>
      <c r="J243" t="inlineStr">
        <is>
          <t>Quarterly report (10-Q)</t>
        </is>
      </c>
      <c r="K243" t="inlineStr">
        <is>
          <t>not XBRL-tagged (read from filing text)</t>
        </is>
      </c>
      <c r="L243" t="inlineStr">
        <is>
          <t>FY2023 = 4,531 other + 178 intangibles + 253 goodwill as presented in the FY2024 10-K; FY2025 10-K presents these combined.</t>
        </is>
      </c>
      <c r="M243" t="inlineStr">
        <is>
          <t>https://www.sec.gov/Archives/edgar/data/1318605/000162828026049270/tsla-20260630.htm</t>
        </is>
      </c>
    </row>
    <row r="244">
      <c r="A244" t="inlineStr">
        <is>
          <t>total_assets</t>
        </is>
      </c>
      <c r="B244" t="inlineStr">
        <is>
          <t>Total assets</t>
        </is>
      </c>
      <c r="C244" t="inlineStr">
        <is>
          <t>Balance sheet</t>
        </is>
      </c>
      <c r="D244" t="inlineStr">
        <is>
          <t>FY2023</t>
        </is>
      </c>
      <c r="E244" s="4" t="n">
        <v>106618</v>
      </c>
      <c r="F244" t="inlineStr">
        <is>
          <t>USD m</t>
        </is>
      </c>
      <c r="G244" t="inlineStr">
        <is>
          <t>10-K - FY2024 (year ended 2024-12-31)</t>
        </is>
      </c>
      <c r="H244" t="inlineStr">
        <is>
          <t>0001628280-25-003063</t>
        </is>
      </c>
      <c r="I244" t="inlineStr">
        <is>
          <t>Part II Item 8, Consolidated Balance Sheets, p.48</t>
        </is>
      </c>
      <c r="J244" t="inlineStr">
        <is>
          <t>Annual report (10-K)</t>
        </is>
      </c>
      <c r="K244" t="inlineStr">
        <is>
          <t>not XBRL-tagged (read from filing text)</t>
        </is>
      </c>
      <c r="L244" t="inlineStr"/>
      <c r="M244" t="inlineStr">
        <is>
          <t>https://www.sec.gov/Archives/edgar/data/1318605/000162828025003063/tsla-20241231.htm</t>
        </is>
      </c>
    </row>
    <row r="245">
      <c r="A245" t="inlineStr">
        <is>
          <t>total_assets</t>
        </is>
      </c>
      <c r="B245" t="inlineStr">
        <is>
          <t>Total assets</t>
        </is>
      </c>
      <c r="C245" t="inlineStr">
        <is>
          <t>Balance sheet</t>
        </is>
      </c>
      <c r="D245" t="inlineStr">
        <is>
          <t>FY2024</t>
        </is>
      </c>
      <c r="E245" s="4" t="n">
        <v>122070</v>
      </c>
      <c r="F245" t="inlineStr">
        <is>
          <t>USD m</t>
        </is>
      </c>
      <c r="G245" t="inlineStr">
        <is>
          <t>10-K - FY2025 (year ended 2025-12-31)</t>
        </is>
      </c>
      <c r="H245" t="inlineStr">
        <is>
          <t>0001628280-26-003952</t>
        </is>
      </c>
      <c r="I245" t="inlineStr">
        <is>
          <t>Part II Item 8, Consolidated Balance Sheets, p.49</t>
        </is>
      </c>
      <c r="J245" t="inlineStr">
        <is>
          <t>Annual report (10-K)</t>
        </is>
      </c>
      <c r="K245" t="inlineStr">
        <is>
          <t>not XBRL-tagged (read from filing text)</t>
        </is>
      </c>
      <c r="L245" t="inlineStr"/>
      <c r="M245" t="inlineStr">
        <is>
          <t>https://www.sec.gov/Archives/edgar/data/1318605/000162828026003952/tsla-20251231.htm</t>
        </is>
      </c>
    </row>
    <row r="246">
      <c r="A246" t="inlineStr">
        <is>
          <t>total_assets</t>
        </is>
      </c>
      <c r="B246" t="inlineStr">
        <is>
          <t>Total assets</t>
        </is>
      </c>
      <c r="C246" t="inlineStr">
        <is>
          <t>Balance sheet</t>
        </is>
      </c>
      <c r="D246" t="inlineStr">
        <is>
          <t>FY2025</t>
        </is>
      </c>
      <c r="E246" s="4" t="n">
        <v>137806</v>
      </c>
      <c r="F246" t="inlineStr">
        <is>
          <t>USD m</t>
        </is>
      </c>
      <c r="G246" t="inlineStr">
        <is>
          <t>10-K - FY2025 (year ended 2025-12-31)</t>
        </is>
      </c>
      <c r="H246" t="inlineStr">
        <is>
          <t>0001628280-26-003952</t>
        </is>
      </c>
      <c r="I246" t="inlineStr">
        <is>
          <t>Part II Item 8, Consolidated Balance Sheets, p.49</t>
        </is>
      </c>
      <c r="J246" t="inlineStr">
        <is>
          <t>Annual report (10-K)</t>
        </is>
      </c>
      <c r="K246" t="inlineStr">
        <is>
          <t>not XBRL-tagged (read from filing text)</t>
        </is>
      </c>
      <c r="L246" t="inlineStr"/>
      <c r="M246" t="inlineStr">
        <is>
          <t>https://www.sec.gov/Archives/edgar/data/1318605/000162828026003952/tsla-20251231.htm</t>
        </is>
      </c>
    </row>
    <row r="247">
      <c r="A247" t="inlineStr">
        <is>
          <t>total_assets</t>
        </is>
      </c>
      <c r="B247" t="inlineStr">
        <is>
          <t>Total assets</t>
        </is>
      </c>
      <c r="C247" t="inlineStr">
        <is>
          <t>Balance sheet</t>
        </is>
      </c>
      <c r="D247" t="inlineStr">
        <is>
          <t>Q2_2026</t>
        </is>
      </c>
      <c r="E247" s="4" t="n">
        <v>148524</v>
      </c>
      <c r="F247" t="inlineStr">
        <is>
          <t>USD m</t>
        </is>
      </c>
      <c r="G247" t="inlineStr">
        <is>
          <t>10-Q - Q2 2026 (quarter ended 2026-06-30)</t>
        </is>
      </c>
      <c r="H247" t="inlineStr">
        <is>
          <t>0001628280-26-049270</t>
        </is>
      </c>
      <c r="I247" t="inlineStr">
        <is>
          <t>Part I Item 1, Consolidated Balance Sheets, p.4</t>
        </is>
      </c>
      <c r="J247" t="inlineStr">
        <is>
          <t>Quarterly report (10-Q)</t>
        </is>
      </c>
      <c r="K247" t="inlineStr">
        <is>
          <t>not XBRL-tagged (read from filing text)</t>
        </is>
      </c>
      <c r="L247" t="inlineStr"/>
      <c r="M247" t="inlineStr">
        <is>
          <t>https://www.sec.gov/Archives/edgar/data/1318605/000162828026049270/tsla-20260630.htm</t>
        </is>
      </c>
    </row>
    <row r="248">
      <c r="A248" t="inlineStr">
        <is>
          <t>ap</t>
        </is>
      </c>
      <c r="B248" t="inlineStr">
        <is>
          <t>Accounts payable</t>
        </is>
      </c>
      <c r="C248" t="inlineStr">
        <is>
          <t>Balance sheet</t>
        </is>
      </c>
      <c r="D248" t="inlineStr">
        <is>
          <t>FY2023</t>
        </is>
      </c>
      <c r="E248" s="4" t="n">
        <v>14431</v>
      </c>
      <c r="F248" t="inlineStr">
        <is>
          <t>USD m</t>
        </is>
      </c>
      <c r="G248" t="inlineStr">
        <is>
          <t>10-K - FY2024 (year ended 2024-12-31)</t>
        </is>
      </c>
      <c r="H248" t="inlineStr">
        <is>
          <t>0001628280-25-003063</t>
        </is>
      </c>
      <c r="I248" t="inlineStr">
        <is>
          <t>Part II Item 8, Consolidated Balance Sheets, p.48</t>
        </is>
      </c>
      <c r="J248" t="inlineStr">
        <is>
          <t>Annual report (10-K)</t>
        </is>
      </c>
      <c r="K248" t="inlineStr">
        <is>
          <t>not XBRL-tagged (read from filing text)</t>
        </is>
      </c>
      <c r="L248" t="inlineStr"/>
      <c r="M248" t="inlineStr">
        <is>
          <t>https://www.sec.gov/Archives/edgar/data/1318605/000162828025003063/tsla-20241231.htm</t>
        </is>
      </c>
    </row>
    <row r="249">
      <c r="A249" t="inlineStr">
        <is>
          <t>ap</t>
        </is>
      </c>
      <c r="B249" t="inlineStr">
        <is>
          <t>Accounts payable</t>
        </is>
      </c>
      <c r="C249" t="inlineStr">
        <is>
          <t>Balance sheet</t>
        </is>
      </c>
      <c r="D249" t="inlineStr">
        <is>
          <t>FY2024</t>
        </is>
      </c>
      <c r="E249" s="4" t="n">
        <v>12474</v>
      </c>
      <c r="F249" t="inlineStr">
        <is>
          <t>USD m</t>
        </is>
      </c>
      <c r="G249" t="inlineStr">
        <is>
          <t>10-K - FY2025 (year ended 2025-12-31)</t>
        </is>
      </c>
      <c r="H249" t="inlineStr">
        <is>
          <t>0001628280-26-003952</t>
        </is>
      </c>
      <c r="I249" t="inlineStr">
        <is>
          <t>Part II Item 8, Consolidated Balance Sheets, p.49</t>
        </is>
      </c>
      <c r="J249" t="inlineStr">
        <is>
          <t>Annual report (10-K)</t>
        </is>
      </c>
      <c r="K249" t="inlineStr">
        <is>
          <t>not XBRL-tagged (read from filing text)</t>
        </is>
      </c>
      <c r="L249" t="inlineStr"/>
      <c r="M249" t="inlineStr">
        <is>
          <t>https://www.sec.gov/Archives/edgar/data/1318605/000162828026003952/tsla-20251231.htm</t>
        </is>
      </c>
    </row>
    <row r="250">
      <c r="A250" t="inlineStr">
        <is>
          <t>ap</t>
        </is>
      </c>
      <c r="B250" t="inlineStr">
        <is>
          <t>Accounts payable</t>
        </is>
      </c>
      <c r="C250" t="inlineStr">
        <is>
          <t>Balance sheet</t>
        </is>
      </c>
      <c r="D250" t="inlineStr">
        <is>
          <t>FY2025</t>
        </is>
      </c>
      <c r="E250" s="4" t="n">
        <v>13371</v>
      </c>
      <c r="F250" t="inlineStr">
        <is>
          <t>USD m</t>
        </is>
      </c>
      <c r="G250" t="inlineStr">
        <is>
          <t>10-K - FY2025 (year ended 2025-12-31)</t>
        </is>
      </c>
      <c r="H250" t="inlineStr">
        <is>
          <t>0001628280-26-003952</t>
        </is>
      </c>
      <c r="I250" t="inlineStr">
        <is>
          <t>Part II Item 8, Consolidated Balance Sheets, p.49</t>
        </is>
      </c>
      <c r="J250" t="inlineStr">
        <is>
          <t>Annual report (10-K)</t>
        </is>
      </c>
      <c r="K250" t="inlineStr">
        <is>
          <t>not XBRL-tagged (read from filing text)</t>
        </is>
      </c>
      <c r="L250" t="inlineStr"/>
      <c r="M250" t="inlineStr">
        <is>
          <t>https://www.sec.gov/Archives/edgar/data/1318605/000162828026003952/tsla-20251231.htm</t>
        </is>
      </c>
    </row>
    <row r="251">
      <c r="A251" t="inlineStr">
        <is>
          <t>ap</t>
        </is>
      </c>
      <c r="B251" t="inlineStr">
        <is>
          <t>Accounts payable</t>
        </is>
      </c>
      <c r="C251" t="inlineStr">
        <is>
          <t>Balance sheet</t>
        </is>
      </c>
      <c r="D251" t="inlineStr">
        <is>
          <t>Q2_2026</t>
        </is>
      </c>
      <c r="E251" s="4" t="n">
        <v>15324</v>
      </c>
      <c r="F251" t="inlineStr">
        <is>
          <t>USD m</t>
        </is>
      </c>
      <c r="G251" t="inlineStr">
        <is>
          <t>10-Q - Q2 2026 (quarter ended 2026-06-30)</t>
        </is>
      </c>
      <c r="H251" t="inlineStr">
        <is>
          <t>0001628280-26-049270</t>
        </is>
      </c>
      <c r="I251" t="inlineStr">
        <is>
          <t>Part I Item 1, Consolidated Balance Sheets, p.4</t>
        </is>
      </c>
      <c r="J251" t="inlineStr">
        <is>
          <t>Quarterly report (10-Q)</t>
        </is>
      </c>
      <c r="K251" t="inlineStr">
        <is>
          <t>not XBRL-tagged (read from filing text)</t>
        </is>
      </c>
      <c r="L251" t="inlineStr"/>
      <c r="M251" t="inlineStr">
        <is>
          <t>https://www.sec.gov/Archives/edgar/data/1318605/000162828026049270/tsla-20260630.htm</t>
        </is>
      </c>
    </row>
    <row r="252">
      <c r="A252" t="inlineStr">
        <is>
          <t>accrued_current</t>
        </is>
      </c>
      <c r="B252" t="inlineStr">
        <is>
          <t>Accrued liabilities and other (current)</t>
        </is>
      </c>
      <c r="C252" t="inlineStr">
        <is>
          <t>Balance sheet</t>
        </is>
      </c>
      <c r="D252" t="inlineStr">
        <is>
          <t>FY2023</t>
        </is>
      </c>
      <c r="E252" s="4" t="n">
        <v>9080</v>
      </c>
      <c r="F252" t="inlineStr">
        <is>
          <t>USD m</t>
        </is>
      </c>
      <c r="G252" t="inlineStr">
        <is>
          <t>10-K - FY2024 (year ended 2024-12-31)</t>
        </is>
      </c>
      <c r="H252" t="inlineStr">
        <is>
          <t>0001628280-25-003063</t>
        </is>
      </c>
      <c r="I252" t="inlineStr">
        <is>
          <t>Part II Item 8, Consolidated Balance Sheets, p.48</t>
        </is>
      </c>
      <c r="J252" t="inlineStr">
        <is>
          <t>Annual report (10-K)</t>
        </is>
      </c>
      <c r="K252" t="inlineStr">
        <is>
          <t>not XBRL-tagged (read from filing text)</t>
        </is>
      </c>
      <c r="L252" t="inlineStr"/>
      <c r="M252" t="inlineStr">
        <is>
          <t>https://www.sec.gov/Archives/edgar/data/1318605/000162828025003063/tsla-20241231.htm</t>
        </is>
      </c>
    </row>
    <row r="253">
      <c r="A253" t="inlineStr">
        <is>
          <t>accrued_current</t>
        </is>
      </c>
      <c r="B253" t="inlineStr">
        <is>
          <t>Accrued liabilities and other (current)</t>
        </is>
      </c>
      <c r="C253" t="inlineStr">
        <is>
          <t>Balance sheet</t>
        </is>
      </c>
      <c r="D253" t="inlineStr">
        <is>
          <t>FY2024</t>
        </is>
      </c>
      <c r="E253" s="4" t="n">
        <v>10723</v>
      </c>
      <c r="F253" t="inlineStr">
        <is>
          <t>USD m</t>
        </is>
      </c>
      <c r="G253" t="inlineStr">
        <is>
          <t>10-K - FY2025 (year ended 2025-12-31)</t>
        </is>
      </c>
      <c r="H253" t="inlineStr">
        <is>
          <t>0001628280-26-003952</t>
        </is>
      </c>
      <c r="I253" t="inlineStr">
        <is>
          <t>Part II Item 8, Consolidated Balance Sheets, p.49</t>
        </is>
      </c>
      <c r="J253" t="inlineStr">
        <is>
          <t>Annual report (10-K)</t>
        </is>
      </c>
      <c r="K253" t="inlineStr">
        <is>
          <t>not XBRL-tagged (read from filing text)</t>
        </is>
      </c>
      <c r="L253" t="inlineStr"/>
      <c r="M253" t="inlineStr">
        <is>
          <t>https://www.sec.gov/Archives/edgar/data/1318605/000162828026003952/tsla-20251231.htm</t>
        </is>
      </c>
    </row>
    <row r="254">
      <c r="A254" t="inlineStr">
        <is>
          <t>accrued_current</t>
        </is>
      </c>
      <c r="B254" t="inlineStr">
        <is>
          <t>Accrued liabilities and other (current)</t>
        </is>
      </c>
      <c r="C254" t="inlineStr">
        <is>
          <t>Balance sheet</t>
        </is>
      </c>
      <c r="D254" t="inlineStr">
        <is>
          <t>FY2025</t>
        </is>
      </c>
      <c r="E254" s="4" t="n">
        <v>13279</v>
      </c>
      <c r="F254" t="inlineStr">
        <is>
          <t>USD m</t>
        </is>
      </c>
      <c r="G254" t="inlineStr">
        <is>
          <t>10-K - FY2025 (year ended 2025-12-31)</t>
        </is>
      </c>
      <c r="H254" t="inlineStr">
        <is>
          <t>0001628280-26-003952</t>
        </is>
      </c>
      <c r="I254" t="inlineStr">
        <is>
          <t>Part II Item 8, Consolidated Balance Sheets, p.49</t>
        </is>
      </c>
      <c r="J254" t="inlineStr">
        <is>
          <t>Annual report (10-K)</t>
        </is>
      </c>
      <c r="K254" t="inlineStr">
        <is>
          <t>not XBRL-tagged (read from filing text)</t>
        </is>
      </c>
      <c r="L254" t="inlineStr"/>
      <c r="M254" t="inlineStr">
        <is>
          <t>https://www.sec.gov/Archives/edgar/data/1318605/000162828026003952/tsla-20251231.htm</t>
        </is>
      </c>
    </row>
    <row r="255">
      <c r="A255" t="inlineStr">
        <is>
          <t>accrued_current</t>
        </is>
      </c>
      <c r="B255" t="inlineStr">
        <is>
          <t>Accrued liabilities and other (current)</t>
        </is>
      </c>
      <c r="C255" t="inlineStr">
        <is>
          <t>Balance sheet</t>
        </is>
      </c>
      <c r="D255" t="inlineStr">
        <is>
          <t>Q2_2026</t>
        </is>
      </c>
      <c r="E255" s="4" t="n">
        <v>15256</v>
      </c>
      <c r="F255" t="inlineStr">
        <is>
          <t>USD m</t>
        </is>
      </c>
      <c r="G255" t="inlineStr">
        <is>
          <t>10-Q - Q2 2026 (quarter ended 2026-06-30)</t>
        </is>
      </c>
      <c r="H255" t="inlineStr">
        <is>
          <t>0001628280-26-049270</t>
        </is>
      </c>
      <c r="I255" t="inlineStr">
        <is>
          <t>Part I Item 1, Consolidated Balance Sheets, p.4</t>
        </is>
      </c>
      <c r="J255" t="inlineStr">
        <is>
          <t>Quarterly report (10-Q)</t>
        </is>
      </c>
      <c r="K255" t="inlineStr">
        <is>
          <t>not XBRL-tagged (read from filing text)</t>
        </is>
      </c>
      <c r="L255" t="inlineStr"/>
      <c r="M255" t="inlineStr">
        <is>
          <t>https://www.sec.gov/Archives/edgar/data/1318605/000162828026049270/tsla-20260630.htm</t>
        </is>
      </c>
    </row>
    <row r="256">
      <c r="A256" t="inlineStr">
        <is>
          <t>deferred_rev_current</t>
        </is>
      </c>
      <c r="B256" t="inlineStr">
        <is>
          <t>Deferred revenue (current)</t>
        </is>
      </c>
      <c r="C256" t="inlineStr">
        <is>
          <t>Balance sheet</t>
        </is>
      </c>
      <c r="D256" t="inlineStr">
        <is>
          <t>FY2023</t>
        </is>
      </c>
      <c r="E256" s="4" t="n">
        <v>2864</v>
      </c>
      <c r="F256" t="inlineStr">
        <is>
          <t>USD m</t>
        </is>
      </c>
      <c r="G256" t="inlineStr">
        <is>
          <t>10-K - FY2024 (year ended 2024-12-31)</t>
        </is>
      </c>
      <c r="H256" t="inlineStr">
        <is>
          <t>0001628280-25-003063</t>
        </is>
      </c>
      <c r="I256" t="inlineStr">
        <is>
          <t>Part II Item 8, Consolidated Balance Sheets, p.48</t>
        </is>
      </c>
      <c r="J256" t="inlineStr">
        <is>
          <t>Annual report (10-K)</t>
        </is>
      </c>
      <c r="K256" t="inlineStr">
        <is>
          <t>not XBRL-tagged (read from filing text)</t>
        </is>
      </c>
      <c r="L256" t="inlineStr"/>
      <c r="M256" t="inlineStr">
        <is>
          <t>https://www.sec.gov/Archives/edgar/data/1318605/000162828025003063/tsla-20241231.htm</t>
        </is>
      </c>
    </row>
    <row r="257">
      <c r="A257" t="inlineStr">
        <is>
          <t>deferred_rev_current</t>
        </is>
      </c>
      <c r="B257" t="inlineStr">
        <is>
          <t>Deferred revenue (current)</t>
        </is>
      </c>
      <c r="C257" t="inlineStr">
        <is>
          <t>Balance sheet</t>
        </is>
      </c>
      <c r="D257" t="inlineStr">
        <is>
          <t>FY2024</t>
        </is>
      </c>
      <c r="E257" s="4" t="n">
        <v>3168</v>
      </c>
      <c r="F257" t="inlineStr">
        <is>
          <t>USD m</t>
        </is>
      </c>
      <c r="G257" t="inlineStr">
        <is>
          <t>10-K - FY2025 (year ended 2025-12-31)</t>
        </is>
      </c>
      <c r="H257" t="inlineStr">
        <is>
          <t>0001628280-26-003952</t>
        </is>
      </c>
      <c r="I257" t="inlineStr">
        <is>
          <t>Part II Item 8, Consolidated Balance Sheets, p.49</t>
        </is>
      </c>
      <c r="J257" t="inlineStr">
        <is>
          <t>Annual report (10-K)</t>
        </is>
      </c>
      <c r="K257" t="inlineStr">
        <is>
          <t>not XBRL-tagged (read from filing text)</t>
        </is>
      </c>
      <c r="L257" t="inlineStr"/>
      <c r="M257" t="inlineStr">
        <is>
          <t>https://www.sec.gov/Archives/edgar/data/1318605/000162828026003952/tsla-20251231.htm</t>
        </is>
      </c>
    </row>
    <row r="258">
      <c r="A258" t="inlineStr">
        <is>
          <t>deferred_rev_current</t>
        </is>
      </c>
      <c r="B258" t="inlineStr">
        <is>
          <t>Deferred revenue (current)</t>
        </is>
      </c>
      <c r="C258" t="inlineStr">
        <is>
          <t>Balance sheet</t>
        </is>
      </c>
      <c r="D258" t="inlineStr">
        <is>
          <t>FY2025</t>
        </is>
      </c>
      <c r="E258" s="4" t="n">
        <v>3424</v>
      </c>
      <c r="F258" t="inlineStr">
        <is>
          <t>USD m</t>
        </is>
      </c>
      <c r="G258" t="inlineStr">
        <is>
          <t>10-K - FY2025 (year ended 2025-12-31)</t>
        </is>
      </c>
      <c r="H258" t="inlineStr">
        <is>
          <t>0001628280-26-003952</t>
        </is>
      </c>
      <c r="I258" t="inlineStr">
        <is>
          <t>Part II Item 8, Consolidated Balance Sheets, p.49</t>
        </is>
      </c>
      <c r="J258" t="inlineStr">
        <is>
          <t>Annual report (10-K)</t>
        </is>
      </c>
      <c r="K258" t="inlineStr">
        <is>
          <t>not XBRL-tagged (read from filing text)</t>
        </is>
      </c>
      <c r="L258" t="inlineStr"/>
      <c r="M258" t="inlineStr">
        <is>
          <t>https://www.sec.gov/Archives/edgar/data/1318605/000162828026003952/tsla-20251231.htm</t>
        </is>
      </c>
    </row>
    <row r="259">
      <c r="A259" t="inlineStr">
        <is>
          <t>deferred_rev_current</t>
        </is>
      </c>
      <c r="B259" t="inlineStr">
        <is>
          <t>Deferred revenue (current)</t>
        </is>
      </c>
      <c r="C259" t="inlineStr">
        <is>
          <t>Balance sheet</t>
        </is>
      </c>
      <c r="D259" t="inlineStr">
        <is>
          <t>Q2_2026</t>
        </is>
      </c>
      <c r="E259" s="4" t="n">
        <v>3427</v>
      </c>
      <c r="F259" t="inlineStr">
        <is>
          <t>USD m</t>
        </is>
      </c>
      <c r="G259" t="inlineStr">
        <is>
          <t>10-Q - Q2 2026 (quarter ended 2026-06-30)</t>
        </is>
      </c>
      <c r="H259" t="inlineStr">
        <is>
          <t>0001628280-26-049270</t>
        </is>
      </c>
      <c r="I259" t="inlineStr">
        <is>
          <t>Part I Item 1, Consolidated Balance Sheets, p.4</t>
        </is>
      </c>
      <c r="J259" t="inlineStr">
        <is>
          <t>Quarterly report (10-Q)</t>
        </is>
      </c>
      <c r="K259" t="inlineStr">
        <is>
          <t>not XBRL-tagged (read from filing text)</t>
        </is>
      </c>
      <c r="L259" t="inlineStr"/>
      <c r="M259" t="inlineStr">
        <is>
          <t>https://www.sec.gov/Archives/edgar/data/1318605/000162828026049270/tsla-20260630.htm</t>
        </is>
      </c>
    </row>
    <row r="260">
      <c r="A260" t="inlineStr">
        <is>
          <t>debt_fl_current</t>
        </is>
      </c>
      <c r="B260" t="inlineStr">
        <is>
          <t>Current portion of debt and finance leases</t>
        </is>
      </c>
      <c r="C260" t="inlineStr">
        <is>
          <t>Balance sheet</t>
        </is>
      </c>
      <c r="D260" t="inlineStr">
        <is>
          <t>FY2023</t>
        </is>
      </c>
      <c r="E260" s="4" t="n">
        <v>2373</v>
      </c>
      <c r="F260" t="inlineStr">
        <is>
          <t>USD m</t>
        </is>
      </c>
      <c r="G260" t="inlineStr">
        <is>
          <t>10-K - FY2024 (year ended 2024-12-31)</t>
        </is>
      </c>
      <c r="H260" t="inlineStr">
        <is>
          <t>0001628280-25-003063</t>
        </is>
      </c>
      <c r="I260" t="inlineStr">
        <is>
          <t>Part II Item 8, Consolidated Balance Sheets, p.48</t>
        </is>
      </c>
      <c r="J260" t="inlineStr">
        <is>
          <t>Annual report (10-K)</t>
        </is>
      </c>
      <c r="K260" t="inlineStr">
        <is>
          <t>not XBRL-tagged (read from filing text)</t>
        </is>
      </c>
      <c r="L260" t="inlineStr"/>
      <c r="M260" t="inlineStr">
        <is>
          <t>https://www.sec.gov/Archives/edgar/data/1318605/000162828025003063/tsla-20241231.htm</t>
        </is>
      </c>
    </row>
    <row r="261">
      <c r="A261" t="inlineStr">
        <is>
          <t>debt_fl_current</t>
        </is>
      </c>
      <c r="B261" t="inlineStr">
        <is>
          <t>Current portion of debt and finance leases</t>
        </is>
      </c>
      <c r="C261" t="inlineStr">
        <is>
          <t>Balance sheet</t>
        </is>
      </c>
      <c r="D261" t="inlineStr">
        <is>
          <t>FY2024</t>
        </is>
      </c>
      <c r="E261" s="4" t="n">
        <v>2456</v>
      </c>
      <c r="F261" t="inlineStr">
        <is>
          <t>USD m</t>
        </is>
      </c>
      <c r="G261" t="inlineStr">
        <is>
          <t>10-K - FY2025 (year ended 2025-12-31)</t>
        </is>
      </c>
      <c r="H261" t="inlineStr">
        <is>
          <t>0001628280-26-003952</t>
        </is>
      </c>
      <c r="I261" t="inlineStr">
        <is>
          <t>Part II Item 8, Consolidated Balance Sheets, p.49</t>
        </is>
      </c>
      <c r="J261" t="inlineStr">
        <is>
          <t>Annual report (10-K)</t>
        </is>
      </c>
      <c r="K261" t="inlineStr">
        <is>
          <t>not XBRL-tagged (read from filing text)</t>
        </is>
      </c>
      <c r="L261" t="inlineStr"/>
      <c r="M261" t="inlineStr">
        <is>
          <t>https://www.sec.gov/Archives/edgar/data/1318605/000162828026003952/tsla-20251231.htm</t>
        </is>
      </c>
    </row>
    <row r="262">
      <c r="A262" t="inlineStr">
        <is>
          <t>debt_fl_current</t>
        </is>
      </c>
      <c r="B262" t="inlineStr">
        <is>
          <t>Current portion of debt and finance leases</t>
        </is>
      </c>
      <c r="C262" t="inlineStr">
        <is>
          <t>Balance sheet</t>
        </is>
      </c>
      <c r="D262" t="inlineStr">
        <is>
          <t>FY2025</t>
        </is>
      </c>
      <c r="E262" s="4" t="n">
        <v>1640</v>
      </c>
      <c r="F262" t="inlineStr">
        <is>
          <t>USD m</t>
        </is>
      </c>
      <c r="G262" t="inlineStr">
        <is>
          <t>10-K - FY2025 (year ended 2025-12-31)</t>
        </is>
      </c>
      <c r="H262" t="inlineStr">
        <is>
          <t>0001628280-26-003952</t>
        </is>
      </c>
      <c r="I262" t="inlineStr">
        <is>
          <t>Part II Item 8, Consolidated Balance Sheets, p.49</t>
        </is>
      </c>
      <c r="J262" t="inlineStr">
        <is>
          <t>Annual report (10-K)</t>
        </is>
      </c>
      <c r="K262" t="inlineStr">
        <is>
          <t>not XBRL-tagged (read from filing text)</t>
        </is>
      </c>
      <c r="L262" t="inlineStr"/>
      <c r="M262" t="inlineStr">
        <is>
          <t>https://www.sec.gov/Archives/edgar/data/1318605/000162828026003952/tsla-20251231.htm</t>
        </is>
      </c>
    </row>
    <row r="263">
      <c r="A263" t="inlineStr">
        <is>
          <t>debt_fl_current</t>
        </is>
      </c>
      <c r="B263" t="inlineStr">
        <is>
          <t>Current portion of debt and finance leases</t>
        </is>
      </c>
      <c r="C263" t="inlineStr">
        <is>
          <t>Balance sheet</t>
        </is>
      </c>
      <c r="D263" t="inlineStr">
        <is>
          <t>Q2_2026</t>
        </is>
      </c>
      <c r="E263" s="4" t="n">
        <v>1418</v>
      </c>
      <c r="F263" t="inlineStr">
        <is>
          <t>USD m</t>
        </is>
      </c>
      <c r="G263" t="inlineStr">
        <is>
          <t>10-Q - Q2 2026 (quarter ended 2026-06-30)</t>
        </is>
      </c>
      <c r="H263" t="inlineStr">
        <is>
          <t>0001628280-26-049270</t>
        </is>
      </c>
      <c r="I263" t="inlineStr">
        <is>
          <t>Part I Item 1, Consolidated Balance Sheets, p.4</t>
        </is>
      </c>
      <c r="J263" t="inlineStr">
        <is>
          <t>Quarterly report (10-Q)</t>
        </is>
      </c>
      <c r="K263" t="inlineStr">
        <is>
          <t>not XBRL-tagged (read from filing text)</t>
        </is>
      </c>
      <c r="L263" t="inlineStr"/>
      <c r="M263" t="inlineStr">
        <is>
          <t>https://www.sec.gov/Archives/edgar/data/1318605/000162828026049270/tsla-20260630.htm</t>
        </is>
      </c>
    </row>
    <row r="264">
      <c r="A264" t="inlineStr">
        <is>
          <t>debt_fl_noncurrent</t>
        </is>
      </c>
      <c r="B264" t="inlineStr">
        <is>
          <t>Debt and finance leases, net of current portion</t>
        </is>
      </c>
      <c r="C264" t="inlineStr">
        <is>
          <t>Balance sheet</t>
        </is>
      </c>
      <c r="D264" t="inlineStr">
        <is>
          <t>FY2023</t>
        </is>
      </c>
      <c r="E264" s="4" t="n">
        <v>2857</v>
      </c>
      <c r="F264" t="inlineStr">
        <is>
          <t>USD m</t>
        </is>
      </c>
      <c r="G264" t="inlineStr">
        <is>
          <t>10-K - FY2024 (year ended 2024-12-31)</t>
        </is>
      </c>
      <c r="H264" t="inlineStr">
        <is>
          <t>0001628280-25-003063</t>
        </is>
      </c>
      <c r="I264" t="inlineStr">
        <is>
          <t>Part II Item 8, Consolidated Balance Sheets, p.48</t>
        </is>
      </c>
      <c r="J264" t="inlineStr">
        <is>
          <t>Annual report (10-K)</t>
        </is>
      </c>
      <c r="K264" t="inlineStr">
        <is>
          <t>not XBRL-tagged (read from filing text)</t>
        </is>
      </c>
      <c r="L264" t="inlineStr"/>
      <c r="M264" t="inlineStr">
        <is>
          <t>https://www.sec.gov/Archives/edgar/data/1318605/000162828025003063/tsla-20241231.htm</t>
        </is>
      </c>
    </row>
    <row r="265">
      <c r="A265" t="inlineStr">
        <is>
          <t>debt_fl_noncurrent</t>
        </is>
      </c>
      <c r="B265" t="inlineStr">
        <is>
          <t>Debt and finance leases, net of current portion</t>
        </is>
      </c>
      <c r="C265" t="inlineStr">
        <is>
          <t>Balance sheet</t>
        </is>
      </c>
      <c r="D265" t="inlineStr">
        <is>
          <t>FY2024</t>
        </is>
      </c>
      <c r="E265" s="4" t="n">
        <v>5757</v>
      </c>
      <c r="F265" t="inlineStr">
        <is>
          <t>USD m</t>
        </is>
      </c>
      <c r="G265" t="inlineStr">
        <is>
          <t>10-K - FY2025 (year ended 2025-12-31)</t>
        </is>
      </c>
      <c r="H265" t="inlineStr">
        <is>
          <t>0001628280-26-003952</t>
        </is>
      </c>
      <c r="I265" t="inlineStr">
        <is>
          <t>Part II Item 8, Consolidated Balance Sheets, p.49</t>
        </is>
      </c>
      <c r="J265" t="inlineStr">
        <is>
          <t>Annual report (10-K)</t>
        </is>
      </c>
      <c r="K265" t="inlineStr">
        <is>
          <t>not XBRL-tagged (read from filing text)</t>
        </is>
      </c>
      <c r="L265" t="inlineStr"/>
      <c r="M265" t="inlineStr">
        <is>
          <t>https://www.sec.gov/Archives/edgar/data/1318605/000162828026003952/tsla-20251231.htm</t>
        </is>
      </c>
    </row>
    <row r="266">
      <c r="A266" t="inlineStr">
        <is>
          <t>debt_fl_noncurrent</t>
        </is>
      </c>
      <c r="B266" t="inlineStr">
        <is>
          <t>Debt and finance leases, net of current portion</t>
        </is>
      </c>
      <c r="C266" t="inlineStr">
        <is>
          <t>Balance sheet</t>
        </is>
      </c>
      <c r="D266" t="inlineStr">
        <is>
          <t>FY2025</t>
        </is>
      </c>
      <c r="E266" s="4" t="n">
        <v>6736</v>
      </c>
      <c r="F266" t="inlineStr">
        <is>
          <t>USD m</t>
        </is>
      </c>
      <c r="G266" t="inlineStr">
        <is>
          <t>10-K - FY2025 (year ended 2025-12-31)</t>
        </is>
      </c>
      <c r="H266" t="inlineStr">
        <is>
          <t>0001628280-26-003952</t>
        </is>
      </c>
      <c r="I266" t="inlineStr">
        <is>
          <t>Part II Item 8, Consolidated Balance Sheets, p.49</t>
        </is>
      </c>
      <c r="J266" t="inlineStr">
        <is>
          <t>Annual report (10-K)</t>
        </is>
      </c>
      <c r="K266" t="inlineStr">
        <is>
          <t>not XBRL-tagged (read from filing text)</t>
        </is>
      </c>
      <c r="L266" t="inlineStr"/>
      <c r="M266" t="inlineStr">
        <is>
          <t>https://www.sec.gov/Archives/edgar/data/1318605/000162828026003952/tsla-20251231.htm</t>
        </is>
      </c>
    </row>
    <row r="267">
      <c r="A267" t="inlineStr">
        <is>
          <t>debt_fl_noncurrent</t>
        </is>
      </c>
      <c r="B267" t="inlineStr">
        <is>
          <t>Debt and finance leases, net of current portion</t>
        </is>
      </c>
      <c r="C267" t="inlineStr">
        <is>
          <t>Balance sheet</t>
        </is>
      </c>
      <c r="D267" t="inlineStr">
        <is>
          <t>Q2_2026</t>
        </is>
      </c>
      <c r="E267" s="4" t="n">
        <v>7924</v>
      </c>
      <c r="F267" t="inlineStr">
        <is>
          <t>USD m</t>
        </is>
      </c>
      <c r="G267" t="inlineStr">
        <is>
          <t>10-Q - Q2 2026 (quarter ended 2026-06-30)</t>
        </is>
      </c>
      <c r="H267" t="inlineStr">
        <is>
          <t>0001628280-26-049270</t>
        </is>
      </c>
      <c r="I267" t="inlineStr">
        <is>
          <t>Part I Item 1, Consolidated Balance Sheets, p.4</t>
        </is>
      </c>
      <c r="J267" t="inlineStr">
        <is>
          <t>Quarterly report (10-Q)</t>
        </is>
      </c>
      <c r="K267" t="inlineStr">
        <is>
          <t>not XBRL-tagged (read from filing text)</t>
        </is>
      </c>
      <c r="L267" t="inlineStr"/>
      <c r="M267" t="inlineStr">
        <is>
          <t>https://www.sec.gov/Archives/edgar/data/1318605/000162828026049270/tsla-20260630.htm</t>
        </is>
      </c>
    </row>
    <row r="268">
      <c r="A268" t="inlineStr">
        <is>
          <t>deferred_rev_noncurrent</t>
        </is>
      </c>
      <c r="B268" t="inlineStr">
        <is>
          <t>Deferred revenue, net of current portion</t>
        </is>
      </c>
      <c r="C268" t="inlineStr">
        <is>
          <t>Balance sheet</t>
        </is>
      </c>
      <c r="D268" t="inlineStr">
        <is>
          <t>FY2023</t>
        </is>
      </c>
      <c r="E268" s="4" t="n">
        <v>3251</v>
      </c>
      <c r="F268" t="inlineStr">
        <is>
          <t>USD m</t>
        </is>
      </c>
      <c r="G268" t="inlineStr">
        <is>
          <t>10-K - FY2024 (year ended 2024-12-31)</t>
        </is>
      </c>
      <c r="H268" t="inlineStr">
        <is>
          <t>0001628280-25-003063</t>
        </is>
      </c>
      <c r="I268" t="inlineStr">
        <is>
          <t>Part II Item 8, Consolidated Balance Sheets, p.48</t>
        </is>
      </c>
      <c r="J268" t="inlineStr">
        <is>
          <t>Annual report (10-K)</t>
        </is>
      </c>
      <c r="K268" t="inlineStr">
        <is>
          <t>not XBRL-tagged (read from filing text)</t>
        </is>
      </c>
      <c r="L268" t="inlineStr"/>
      <c r="M268" t="inlineStr">
        <is>
          <t>https://www.sec.gov/Archives/edgar/data/1318605/000162828025003063/tsla-20241231.htm</t>
        </is>
      </c>
    </row>
    <row r="269">
      <c r="A269" t="inlineStr">
        <is>
          <t>deferred_rev_noncurrent</t>
        </is>
      </c>
      <c r="B269" t="inlineStr">
        <is>
          <t>Deferred revenue, net of current portion</t>
        </is>
      </c>
      <c r="C269" t="inlineStr">
        <is>
          <t>Balance sheet</t>
        </is>
      </c>
      <c r="D269" t="inlineStr">
        <is>
          <t>FY2024</t>
        </is>
      </c>
      <c r="E269" s="4" t="n">
        <v>3317</v>
      </c>
      <c r="F269" t="inlineStr">
        <is>
          <t>USD m</t>
        </is>
      </c>
      <c r="G269" t="inlineStr">
        <is>
          <t>10-K - FY2025 (year ended 2025-12-31)</t>
        </is>
      </c>
      <c r="H269" t="inlineStr">
        <is>
          <t>0001628280-26-003952</t>
        </is>
      </c>
      <c r="I269" t="inlineStr">
        <is>
          <t>Part II Item 8, Consolidated Balance Sheets, p.49</t>
        </is>
      </c>
      <c r="J269" t="inlineStr">
        <is>
          <t>Annual report (10-K)</t>
        </is>
      </c>
      <c r="K269" t="inlineStr">
        <is>
          <t>not XBRL-tagged (read from filing text)</t>
        </is>
      </c>
      <c r="L269" t="inlineStr"/>
      <c r="M269" t="inlineStr">
        <is>
          <t>https://www.sec.gov/Archives/edgar/data/1318605/000162828026003952/tsla-20251231.htm</t>
        </is>
      </c>
    </row>
    <row r="270">
      <c r="A270" t="inlineStr">
        <is>
          <t>deferred_rev_noncurrent</t>
        </is>
      </c>
      <c r="B270" t="inlineStr">
        <is>
          <t>Deferred revenue, net of current portion</t>
        </is>
      </c>
      <c r="C270" t="inlineStr">
        <is>
          <t>Balance sheet</t>
        </is>
      </c>
      <c r="D270" t="inlineStr">
        <is>
          <t>FY2025</t>
        </is>
      </c>
      <c r="E270" s="4" t="n">
        <v>3631</v>
      </c>
      <c r="F270" t="inlineStr">
        <is>
          <t>USD m</t>
        </is>
      </c>
      <c r="G270" t="inlineStr">
        <is>
          <t>10-K - FY2025 (year ended 2025-12-31)</t>
        </is>
      </c>
      <c r="H270" t="inlineStr">
        <is>
          <t>0001628280-26-003952</t>
        </is>
      </c>
      <c r="I270" t="inlineStr">
        <is>
          <t>Part II Item 8, Consolidated Balance Sheets, p.49</t>
        </is>
      </c>
      <c r="J270" t="inlineStr">
        <is>
          <t>Annual report (10-K)</t>
        </is>
      </c>
      <c r="K270" t="inlineStr">
        <is>
          <t>not XBRL-tagged (read from filing text)</t>
        </is>
      </c>
      <c r="L270" t="inlineStr"/>
      <c r="M270" t="inlineStr">
        <is>
          <t>https://www.sec.gov/Archives/edgar/data/1318605/000162828026003952/tsla-20251231.htm</t>
        </is>
      </c>
    </row>
    <row r="271">
      <c r="A271" t="inlineStr">
        <is>
          <t>deferred_rev_noncurrent</t>
        </is>
      </c>
      <c r="B271" t="inlineStr">
        <is>
          <t>Deferred revenue, net of current portion</t>
        </is>
      </c>
      <c r="C271" t="inlineStr">
        <is>
          <t>Balance sheet</t>
        </is>
      </c>
      <c r="D271" t="inlineStr">
        <is>
          <t>Q2_2026</t>
        </is>
      </c>
      <c r="E271" s="4" t="n">
        <v>4073</v>
      </c>
      <c r="F271" t="inlineStr">
        <is>
          <t>USD m</t>
        </is>
      </c>
      <c r="G271" t="inlineStr">
        <is>
          <t>10-Q - Q2 2026 (quarter ended 2026-06-30)</t>
        </is>
      </c>
      <c r="H271" t="inlineStr">
        <is>
          <t>0001628280-26-049270</t>
        </is>
      </c>
      <c r="I271" t="inlineStr">
        <is>
          <t>Part I Item 1, Consolidated Balance Sheets, p.4</t>
        </is>
      </c>
      <c r="J271" t="inlineStr">
        <is>
          <t>Quarterly report (10-Q)</t>
        </is>
      </c>
      <c r="K271" t="inlineStr">
        <is>
          <t>not XBRL-tagged (read from filing text)</t>
        </is>
      </c>
      <c r="L271" t="inlineStr"/>
      <c r="M271" t="inlineStr">
        <is>
          <t>https://www.sec.gov/Archives/edgar/data/1318605/000162828026049270/tsla-20260630.htm</t>
        </is>
      </c>
    </row>
    <row r="272">
      <c r="A272" t="inlineStr">
        <is>
          <t>other_ltl</t>
        </is>
      </c>
      <c r="B272" t="inlineStr">
        <is>
          <t>Other long-term liabilities</t>
        </is>
      </c>
      <c r="C272" t="inlineStr">
        <is>
          <t>Balance sheet</t>
        </is>
      </c>
      <c r="D272" t="inlineStr">
        <is>
          <t>FY2023</t>
        </is>
      </c>
      <c r="E272" s="4" t="n">
        <v>8153</v>
      </c>
      <c r="F272" t="inlineStr">
        <is>
          <t>USD m</t>
        </is>
      </c>
      <c r="G272" t="inlineStr">
        <is>
          <t>10-K - FY2024 (year ended 2024-12-31)</t>
        </is>
      </c>
      <c r="H272" t="inlineStr">
        <is>
          <t>0001628280-25-003063</t>
        </is>
      </c>
      <c r="I272" t="inlineStr">
        <is>
          <t>Part II Item 8, Consolidated Balance Sheets, p.48</t>
        </is>
      </c>
      <c r="J272" t="inlineStr">
        <is>
          <t>Annual report (10-K)</t>
        </is>
      </c>
      <c r="K272" t="inlineStr">
        <is>
          <t>not XBRL-tagged (read from filing text)</t>
        </is>
      </c>
      <c r="L272" t="inlineStr"/>
      <c r="M272" t="inlineStr">
        <is>
          <t>https://www.sec.gov/Archives/edgar/data/1318605/000162828025003063/tsla-20241231.htm</t>
        </is>
      </c>
    </row>
    <row r="273">
      <c r="A273" t="inlineStr">
        <is>
          <t>other_ltl</t>
        </is>
      </c>
      <c r="B273" t="inlineStr">
        <is>
          <t>Other long-term liabilities</t>
        </is>
      </c>
      <c r="C273" t="inlineStr">
        <is>
          <t>Balance sheet</t>
        </is>
      </c>
      <c r="D273" t="inlineStr">
        <is>
          <t>FY2024</t>
        </is>
      </c>
      <c r="E273" s="4" t="n">
        <v>10495</v>
      </c>
      <c r="F273" t="inlineStr">
        <is>
          <t>USD m</t>
        </is>
      </c>
      <c r="G273" t="inlineStr">
        <is>
          <t>10-K - FY2025 (year ended 2025-12-31)</t>
        </is>
      </c>
      <c r="H273" t="inlineStr">
        <is>
          <t>0001628280-26-003952</t>
        </is>
      </c>
      <c r="I273" t="inlineStr">
        <is>
          <t>Part II Item 8, Consolidated Balance Sheets, p.49</t>
        </is>
      </c>
      <c r="J273" t="inlineStr">
        <is>
          <t>Annual report (10-K)</t>
        </is>
      </c>
      <c r="K273" t="inlineStr">
        <is>
          <t>not XBRL-tagged (read from filing text)</t>
        </is>
      </c>
      <c r="L273" t="inlineStr"/>
      <c r="M273" t="inlineStr">
        <is>
          <t>https://www.sec.gov/Archives/edgar/data/1318605/000162828026003952/tsla-20251231.htm</t>
        </is>
      </c>
    </row>
    <row r="274">
      <c r="A274" t="inlineStr">
        <is>
          <t>other_ltl</t>
        </is>
      </c>
      <c r="B274" t="inlineStr">
        <is>
          <t>Other long-term liabilities</t>
        </is>
      </c>
      <c r="C274" t="inlineStr">
        <is>
          <t>Balance sheet</t>
        </is>
      </c>
      <c r="D274" t="inlineStr">
        <is>
          <t>FY2025</t>
        </is>
      </c>
      <c r="E274" s="4" t="n">
        <v>12860</v>
      </c>
      <c r="F274" t="inlineStr">
        <is>
          <t>USD m</t>
        </is>
      </c>
      <c r="G274" t="inlineStr">
        <is>
          <t>10-K - FY2025 (year ended 2025-12-31)</t>
        </is>
      </c>
      <c r="H274" t="inlineStr">
        <is>
          <t>0001628280-26-003952</t>
        </is>
      </c>
      <c r="I274" t="inlineStr">
        <is>
          <t>Part II Item 8, Consolidated Balance Sheets, p.49</t>
        </is>
      </c>
      <c r="J274" t="inlineStr">
        <is>
          <t>Annual report (10-K)</t>
        </is>
      </c>
      <c r="K274" t="inlineStr">
        <is>
          <t>not XBRL-tagged (read from filing text)</t>
        </is>
      </c>
      <c r="L274" t="inlineStr"/>
      <c r="M274" t="inlineStr">
        <is>
          <t>https://www.sec.gov/Archives/edgar/data/1318605/000162828026003952/tsla-20251231.htm</t>
        </is>
      </c>
    </row>
    <row r="275">
      <c r="A275" t="inlineStr">
        <is>
          <t>other_ltl</t>
        </is>
      </c>
      <c r="B275" t="inlineStr">
        <is>
          <t>Other long-term liabilities</t>
        </is>
      </c>
      <c r="C275" t="inlineStr">
        <is>
          <t>Balance sheet</t>
        </is>
      </c>
      <c r="D275" t="inlineStr">
        <is>
          <t>Q2_2026</t>
        </is>
      </c>
      <c r="E275" s="4" t="n">
        <v>13583</v>
      </c>
      <c r="F275" t="inlineStr">
        <is>
          <t>USD m</t>
        </is>
      </c>
      <c r="G275" t="inlineStr">
        <is>
          <t>10-Q - Q2 2026 (quarter ended 2026-06-30)</t>
        </is>
      </c>
      <c r="H275" t="inlineStr">
        <is>
          <t>0001628280-26-049270</t>
        </is>
      </c>
      <c r="I275" t="inlineStr">
        <is>
          <t>Part I Item 1, Consolidated Balance Sheets, p.4</t>
        </is>
      </c>
      <c r="J275" t="inlineStr">
        <is>
          <t>Quarterly report (10-Q)</t>
        </is>
      </c>
      <c r="K275" t="inlineStr">
        <is>
          <t>not XBRL-tagged (read from filing text)</t>
        </is>
      </c>
      <c r="L275" t="inlineStr"/>
      <c r="M275" t="inlineStr">
        <is>
          <t>https://www.sec.gov/Archives/edgar/data/1318605/000162828026049270/tsla-20260630.htm</t>
        </is>
      </c>
    </row>
    <row r="276">
      <c r="A276" t="inlineStr">
        <is>
          <t>total_liabilities</t>
        </is>
      </c>
      <c r="B276" t="inlineStr">
        <is>
          <t>Total liabilities</t>
        </is>
      </c>
      <c r="C276" t="inlineStr">
        <is>
          <t>Balance sheet</t>
        </is>
      </c>
      <c r="D276" t="inlineStr">
        <is>
          <t>FY2023</t>
        </is>
      </c>
      <c r="E276" s="4" t="n">
        <v>43009</v>
      </c>
      <c r="F276" t="inlineStr">
        <is>
          <t>USD m</t>
        </is>
      </c>
      <c r="G276" t="inlineStr">
        <is>
          <t>10-K - FY2024 (year ended 2024-12-31)</t>
        </is>
      </c>
      <c r="H276" t="inlineStr">
        <is>
          <t>0001628280-25-003063</t>
        </is>
      </c>
      <c r="I276" t="inlineStr">
        <is>
          <t>Part II Item 8, Consolidated Balance Sheets, p.48</t>
        </is>
      </c>
      <c r="J276" t="inlineStr">
        <is>
          <t>Annual report (10-K)</t>
        </is>
      </c>
      <c r="K276" t="inlineStr">
        <is>
          <t>not XBRL-tagged (read from filing text)</t>
        </is>
      </c>
      <c r="L276" t="inlineStr"/>
      <c r="M276" t="inlineStr">
        <is>
          <t>https://www.sec.gov/Archives/edgar/data/1318605/000162828025003063/tsla-20241231.htm</t>
        </is>
      </c>
    </row>
    <row r="277">
      <c r="A277" t="inlineStr">
        <is>
          <t>total_liabilities</t>
        </is>
      </c>
      <c r="B277" t="inlineStr">
        <is>
          <t>Total liabilities</t>
        </is>
      </c>
      <c r="C277" t="inlineStr">
        <is>
          <t>Balance sheet</t>
        </is>
      </c>
      <c r="D277" t="inlineStr">
        <is>
          <t>FY2024</t>
        </is>
      </c>
      <c r="E277" s="4" t="n">
        <v>48390</v>
      </c>
      <c r="F277" t="inlineStr">
        <is>
          <t>USD m</t>
        </is>
      </c>
      <c r="G277" t="inlineStr">
        <is>
          <t>10-K - FY2025 (year ended 2025-12-31)</t>
        </is>
      </c>
      <c r="H277" t="inlineStr">
        <is>
          <t>0001628280-26-003952</t>
        </is>
      </c>
      <c r="I277" t="inlineStr">
        <is>
          <t>Part II Item 8, Consolidated Balance Sheets, p.49</t>
        </is>
      </c>
      <c r="J277" t="inlineStr">
        <is>
          <t>Annual report (10-K)</t>
        </is>
      </c>
      <c r="K277" t="inlineStr">
        <is>
          <t>not XBRL-tagged (read from filing text)</t>
        </is>
      </c>
      <c r="L277" t="inlineStr"/>
      <c r="M277" t="inlineStr">
        <is>
          <t>https://www.sec.gov/Archives/edgar/data/1318605/000162828026003952/tsla-20251231.htm</t>
        </is>
      </c>
    </row>
    <row r="278">
      <c r="A278" t="inlineStr">
        <is>
          <t>total_liabilities</t>
        </is>
      </c>
      <c r="B278" t="inlineStr">
        <is>
          <t>Total liabilities</t>
        </is>
      </c>
      <c r="C278" t="inlineStr">
        <is>
          <t>Balance sheet</t>
        </is>
      </c>
      <c r="D278" t="inlineStr">
        <is>
          <t>FY2025</t>
        </is>
      </c>
      <c r="E278" s="4" t="n">
        <v>54941</v>
      </c>
      <c r="F278" t="inlineStr">
        <is>
          <t>USD m</t>
        </is>
      </c>
      <c r="G278" t="inlineStr">
        <is>
          <t>10-K - FY2025 (year ended 2025-12-31)</t>
        </is>
      </c>
      <c r="H278" t="inlineStr">
        <is>
          <t>0001628280-26-003952</t>
        </is>
      </c>
      <c r="I278" t="inlineStr">
        <is>
          <t>Part II Item 8, Consolidated Balance Sheets, p.49</t>
        </is>
      </c>
      <c r="J278" t="inlineStr">
        <is>
          <t>Annual report (10-K)</t>
        </is>
      </c>
      <c r="K278" t="inlineStr">
        <is>
          <t>not XBRL-tagged (read from filing text)</t>
        </is>
      </c>
      <c r="L278" t="inlineStr"/>
      <c r="M278" t="inlineStr">
        <is>
          <t>https://www.sec.gov/Archives/edgar/data/1318605/000162828026003952/tsla-20251231.htm</t>
        </is>
      </c>
    </row>
    <row r="279">
      <c r="A279" t="inlineStr">
        <is>
          <t>total_liabilities</t>
        </is>
      </c>
      <c r="B279" t="inlineStr">
        <is>
          <t>Total liabilities</t>
        </is>
      </c>
      <c r="C279" t="inlineStr">
        <is>
          <t>Balance sheet</t>
        </is>
      </c>
      <c r="D279" t="inlineStr">
        <is>
          <t>Q2_2026</t>
        </is>
      </c>
      <c r="E279" s="4" t="n">
        <v>61005</v>
      </c>
      <c r="F279" t="inlineStr">
        <is>
          <t>USD m</t>
        </is>
      </c>
      <c r="G279" t="inlineStr">
        <is>
          <t>10-Q - Q2 2026 (quarter ended 2026-06-30)</t>
        </is>
      </c>
      <c r="H279" t="inlineStr">
        <is>
          <t>0001628280-26-049270</t>
        </is>
      </c>
      <c r="I279" t="inlineStr">
        <is>
          <t>Part I Item 1, Consolidated Balance Sheets, p.4</t>
        </is>
      </c>
      <c r="J279" t="inlineStr">
        <is>
          <t>Quarterly report (10-Q)</t>
        </is>
      </c>
      <c r="K279" t="inlineStr">
        <is>
          <t>not XBRL-tagged (read from filing text)</t>
        </is>
      </c>
      <c r="L279" t="inlineStr"/>
      <c r="M279" t="inlineStr">
        <is>
          <t>https://www.sec.gov/Archives/edgar/data/1318605/000162828026049270/tsla-20260630.htm</t>
        </is>
      </c>
    </row>
    <row r="280">
      <c r="A280" t="inlineStr">
        <is>
          <t>redeemable_nci</t>
        </is>
      </c>
      <c r="B280" t="inlineStr">
        <is>
          <t>Redeemable noncontrolling interests</t>
        </is>
      </c>
      <c r="C280" t="inlineStr">
        <is>
          <t>Balance sheet</t>
        </is>
      </c>
      <c r="D280" t="inlineStr">
        <is>
          <t>FY2023</t>
        </is>
      </c>
      <c r="E280" s="4" t="n">
        <v>242</v>
      </c>
      <c r="F280" t="inlineStr">
        <is>
          <t>USD m</t>
        </is>
      </c>
      <c r="G280" t="inlineStr">
        <is>
          <t>10-K - FY2024 (year ended 2024-12-31)</t>
        </is>
      </c>
      <c r="H280" t="inlineStr">
        <is>
          <t>0001628280-25-003063</t>
        </is>
      </c>
      <c r="I280" t="inlineStr">
        <is>
          <t>Part II Item 8, Consolidated Balance Sheets, p.48</t>
        </is>
      </c>
      <c r="J280" t="inlineStr">
        <is>
          <t>Annual report (10-K)</t>
        </is>
      </c>
      <c r="K280" t="inlineStr">
        <is>
          <t>not XBRL-tagged (read from filing text)</t>
        </is>
      </c>
      <c r="L280" t="inlineStr"/>
      <c r="M280" t="inlineStr">
        <is>
          <t>https://www.sec.gov/Archives/edgar/data/1318605/000162828025003063/tsla-20241231.htm</t>
        </is>
      </c>
    </row>
    <row r="281">
      <c r="A281" t="inlineStr">
        <is>
          <t>redeemable_nci</t>
        </is>
      </c>
      <c r="B281" t="inlineStr">
        <is>
          <t>Redeemable noncontrolling interests</t>
        </is>
      </c>
      <c r="C281" t="inlineStr">
        <is>
          <t>Balance sheet</t>
        </is>
      </c>
      <c r="D281" t="inlineStr">
        <is>
          <t>FY2024</t>
        </is>
      </c>
      <c r="E281" s="4" t="n">
        <v>63</v>
      </c>
      <c r="F281" t="inlineStr">
        <is>
          <t>USD m</t>
        </is>
      </c>
      <c r="G281" t="inlineStr">
        <is>
          <t>10-K - FY2025 (year ended 2025-12-31)</t>
        </is>
      </c>
      <c r="H281" t="inlineStr">
        <is>
          <t>0001628280-26-003952</t>
        </is>
      </c>
      <c r="I281" t="inlineStr">
        <is>
          <t>Part II Item 8, Consolidated Balance Sheets, p.49</t>
        </is>
      </c>
      <c r="J281" t="inlineStr">
        <is>
          <t>Annual report (10-K)</t>
        </is>
      </c>
      <c r="K281" t="inlineStr">
        <is>
          <t>not XBRL-tagged (read from filing text)</t>
        </is>
      </c>
      <c r="L281" t="inlineStr"/>
      <c r="M281" t="inlineStr">
        <is>
          <t>https://www.sec.gov/Archives/edgar/data/1318605/000162828026003952/tsla-20251231.htm</t>
        </is>
      </c>
    </row>
    <row r="282">
      <c r="A282" t="inlineStr">
        <is>
          <t>redeemable_nci</t>
        </is>
      </c>
      <c r="B282" t="inlineStr">
        <is>
          <t>Redeemable noncontrolling interests</t>
        </is>
      </c>
      <c r="C282" t="inlineStr">
        <is>
          <t>Balance sheet</t>
        </is>
      </c>
      <c r="D282" t="inlineStr">
        <is>
          <t>FY2025</t>
        </is>
      </c>
      <c r="E282" s="4" t="n">
        <v>58</v>
      </c>
      <c r="F282" t="inlineStr">
        <is>
          <t>USD m</t>
        </is>
      </c>
      <c r="G282" t="inlineStr">
        <is>
          <t>10-K - FY2025 (year ended 2025-12-31)</t>
        </is>
      </c>
      <c r="H282" t="inlineStr">
        <is>
          <t>0001628280-26-003952</t>
        </is>
      </c>
      <c r="I282" t="inlineStr">
        <is>
          <t>Part II Item 8, Consolidated Balance Sheets, p.49</t>
        </is>
      </c>
      <c r="J282" t="inlineStr">
        <is>
          <t>Annual report (10-K)</t>
        </is>
      </c>
      <c r="K282" t="inlineStr">
        <is>
          <t>not XBRL-tagged (read from filing text)</t>
        </is>
      </c>
      <c r="L282" t="inlineStr"/>
      <c r="M282" t="inlineStr">
        <is>
          <t>https://www.sec.gov/Archives/edgar/data/1318605/000162828026003952/tsla-20251231.htm</t>
        </is>
      </c>
    </row>
    <row r="283">
      <c r="A283" t="inlineStr">
        <is>
          <t>redeemable_nci</t>
        </is>
      </c>
      <c r="B283" t="inlineStr">
        <is>
          <t>Redeemable noncontrolling interests</t>
        </is>
      </c>
      <c r="C283" t="inlineStr">
        <is>
          <t>Balance sheet</t>
        </is>
      </c>
      <c r="D283" t="inlineStr">
        <is>
          <t>Q2_2026</t>
        </is>
      </c>
      <c r="E283" s="4" t="n">
        <v>54</v>
      </c>
      <c r="F283" t="inlineStr">
        <is>
          <t>USD m</t>
        </is>
      </c>
      <c r="G283" t="inlineStr">
        <is>
          <t>10-Q - Q2 2026 (quarter ended 2026-06-30)</t>
        </is>
      </c>
      <c r="H283" t="inlineStr">
        <is>
          <t>0001628280-26-049270</t>
        </is>
      </c>
      <c r="I283" t="inlineStr">
        <is>
          <t>Part I Item 1, Consolidated Balance Sheets, p.4</t>
        </is>
      </c>
      <c r="J283" t="inlineStr">
        <is>
          <t>Quarterly report (10-Q)</t>
        </is>
      </c>
      <c r="K283" t="inlineStr">
        <is>
          <t>not XBRL-tagged (read from filing text)</t>
        </is>
      </c>
      <c r="L283" t="inlineStr"/>
      <c r="M283" t="inlineStr">
        <is>
          <t>https://www.sec.gov/Archives/edgar/data/1318605/000162828026049270/tsla-20260630.htm</t>
        </is>
      </c>
    </row>
    <row r="284">
      <c r="A284" t="inlineStr">
        <is>
          <t>equity_parent</t>
        </is>
      </c>
      <c r="B284" t="inlineStr">
        <is>
          <t>Total stockholders' equity</t>
        </is>
      </c>
      <c r="C284" t="inlineStr">
        <is>
          <t>Balance sheet</t>
        </is>
      </c>
      <c r="D284" t="inlineStr">
        <is>
          <t>FY2023</t>
        </is>
      </c>
      <c r="E284" s="4" t="n">
        <v>62634</v>
      </c>
      <c r="F284" t="inlineStr">
        <is>
          <t>USD m</t>
        </is>
      </c>
      <c r="G284" t="inlineStr">
        <is>
          <t>10-K - FY2024 (year ended 2024-12-31)</t>
        </is>
      </c>
      <c r="H284" t="inlineStr">
        <is>
          <t>0001628280-25-003063</t>
        </is>
      </c>
      <c r="I284" t="inlineStr">
        <is>
          <t>Part II Item 8, Consolidated Balance Sheets, p.48</t>
        </is>
      </c>
      <c r="J284" t="inlineStr">
        <is>
          <t>Annual report (10-K)</t>
        </is>
      </c>
      <c r="K284" t="inlineStr">
        <is>
          <t>not XBRL-tagged (read from filing text)</t>
        </is>
      </c>
      <c r="L284" t="inlineStr"/>
      <c r="M284" t="inlineStr">
        <is>
          <t>https://www.sec.gov/Archives/edgar/data/1318605/000162828025003063/tsla-20241231.htm</t>
        </is>
      </c>
    </row>
    <row r="285">
      <c r="A285" t="inlineStr">
        <is>
          <t>equity_parent</t>
        </is>
      </c>
      <c r="B285" t="inlineStr">
        <is>
          <t>Total stockholders' equity</t>
        </is>
      </c>
      <c r="C285" t="inlineStr">
        <is>
          <t>Balance sheet</t>
        </is>
      </c>
      <c r="D285" t="inlineStr">
        <is>
          <t>FY2024</t>
        </is>
      </c>
      <c r="E285" s="4" t="n">
        <v>72913</v>
      </c>
      <c r="F285" t="inlineStr">
        <is>
          <t>USD m</t>
        </is>
      </c>
      <c r="G285" t="inlineStr">
        <is>
          <t>10-K - FY2025 (year ended 2025-12-31)</t>
        </is>
      </c>
      <c r="H285" t="inlineStr">
        <is>
          <t>0001628280-26-003952</t>
        </is>
      </c>
      <c r="I285" t="inlineStr">
        <is>
          <t>Part II Item 8, Consolidated Balance Sheets, p.49</t>
        </is>
      </c>
      <c r="J285" t="inlineStr">
        <is>
          <t>Annual report (10-K)</t>
        </is>
      </c>
      <c r="K285" t="inlineStr">
        <is>
          <t>not XBRL-tagged (read from filing text)</t>
        </is>
      </c>
      <c r="L285" t="inlineStr"/>
      <c r="M285" t="inlineStr">
        <is>
          <t>https://www.sec.gov/Archives/edgar/data/1318605/000162828026003952/tsla-20251231.htm</t>
        </is>
      </c>
    </row>
    <row r="286">
      <c r="A286" t="inlineStr">
        <is>
          <t>equity_parent</t>
        </is>
      </c>
      <c r="B286" t="inlineStr">
        <is>
          <t>Total stockholders' equity</t>
        </is>
      </c>
      <c r="C286" t="inlineStr">
        <is>
          <t>Balance sheet</t>
        </is>
      </c>
      <c r="D286" t="inlineStr">
        <is>
          <t>FY2025</t>
        </is>
      </c>
      <c r="E286" s="4" t="n">
        <v>82137</v>
      </c>
      <c r="F286" t="inlineStr">
        <is>
          <t>USD m</t>
        </is>
      </c>
      <c r="G286" t="inlineStr">
        <is>
          <t>10-K - FY2025 (year ended 2025-12-31)</t>
        </is>
      </c>
      <c r="H286" t="inlineStr">
        <is>
          <t>0001628280-26-003952</t>
        </is>
      </c>
      <c r="I286" t="inlineStr">
        <is>
          <t>Part II Item 8, Consolidated Balance Sheets, p.49</t>
        </is>
      </c>
      <c r="J286" t="inlineStr">
        <is>
          <t>Annual report (10-K)</t>
        </is>
      </c>
      <c r="K286" t="inlineStr">
        <is>
          <t>not XBRL-tagged (read from filing text)</t>
        </is>
      </c>
      <c r="L286" t="inlineStr"/>
      <c r="M286" t="inlineStr">
        <is>
          <t>https://www.sec.gov/Archives/edgar/data/1318605/000162828026003952/tsla-20251231.htm</t>
        </is>
      </c>
    </row>
    <row r="287">
      <c r="A287" t="inlineStr">
        <is>
          <t>equity_parent</t>
        </is>
      </c>
      <c r="B287" t="inlineStr">
        <is>
          <t>Total stockholders' equity</t>
        </is>
      </c>
      <c r="C287" t="inlineStr">
        <is>
          <t>Balance sheet</t>
        </is>
      </c>
      <c r="D287" t="inlineStr">
        <is>
          <t>Q2_2026</t>
        </is>
      </c>
      <c r="E287" s="4" t="n">
        <v>86858</v>
      </c>
      <c r="F287" t="inlineStr">
        <is>
          <t>USD m</t>
        </is>
      </c>
      <c r="G287" t="inlineStr">
        <is>
          <t>10-Q - Q2 2026 (quarter ended 2026-06-30)</t>
        </is>
      </c>
      <c r="H287" t="inlineStr">
        <is>
          <t>0001628280-26-049270</t>
        </is>
      </c>
      <c r="I287" t="inlineStr">
        <is>
          <t>Part I Item 1, Consolidated Balance Sheets, p.4</t>
        </is>
      </c>
      <c r="J287" t="inlineStr">
        <is>
          <t>Quarterly report (10-Q)</t>
        </is>
      </c>
      <c r="K287" t="inlineStr">
        <is>
          <t>not XBRL-tagged (read from filing text)</t>
        </is>
      </c>
      <c r="L287" t="inlineStr"/>
      <c r="M287" t="inlineStr">
        <is>
          <t>https://www.sec.gov/Archives/edgar/data/1318605/000162828026049270/tsla-20260630.htm</t>
        </is>
      </c>
    </row>
    <row r="288">
      <c r="A288" t="inlineStr">
        <is>
          <t>nci</t>
        </is>
      </c>
      <c r="B288" t="inlineStr">
        <is>
          <t>Noncontrolling interests in subsidiaries</t>
        </is>
      </c>
      <c r="C288" t="inlineStr">
        <is>
          <t>Balance sheet</t>
        </is>
      </c>
      <c r="D288" t="inlineStr">
        <is>
          <t>FY2023</t>
        </is>
      </c>
      <c r="E288" s="4" t="n">
        <v>733</v>
      </c>
      <c r="F288" t="inlineStr">
        <is>
          <t>USD m</t>
        </is>
      </c>
      <c r="G288" t="inlineStr">
        <is>
          <t>10-K - FY2024 (year ended 2024-12-31)</t>
        </is>
      </c>
      <c r="H288" t="inlineStr">
        <is>
          <t>0001628280-25-003063</t>
        </is>
      </c>
      <c r="I288" t="inlineStr">
        <is>
          <t>Part II Item 8, Consolidated Balance Sheets, p.48</t>
        </is>
      </c>
      <c r="J288" t="inlineStr">
        <is>
          <t>Annual report (10-K)</t>
        </is>
      </c>
      <c r="K288" t="inlineStr">
        <is>
          <t>not XBRL-tagged (read from filing text)</t>
        </is>
      </c>
      <c r="L288" t="inlineStr"/>
      <c r="M288" t="inlineStr">
        <is>
          <t>https://www.sec.gov/Archives/edgar/data/1318605/000162828025003063/tsla-20241231.htm</t>
        </is>
      </c>
    </row>
    <row r="289">
      <c r="A289" t="inlineStr">
        <is>
          <t>nci</t>
        </is>
      </c>
      <c r="B289" t="inlineStr">
        <is>
          <t>Noncontrolling interests in subsidiaries</t>
        </is>
      </c>
      <c r="C289" t="inlineStr">
        <is>
          <t>Balance sheet</t>
        </is>
      </c>
      <c r="D289" t="inlineStr">
        <is>
          <t>FY2024</t>
        </is>
      </c>
      <c r="E289" s="4" t="n">
        <v>704</v>
      </c>
      <c r="F289" t="inlineStr">
        <is>
          <t>USD m</t>
        </is>
      </c>
      <c r="G289" t="inlineStr">
        <is>
          <t>10-K - FY2025 (year ended 2025-12-31)</t>
        </is>
      </c>
      <c r="H289" t="inlineStr">
        <is>
          <t>0001628280-26-003952</t>
        </is>
      </c>
      <c r="I289" t="inlineStr">
        <is>
          <t>Part II Item 8, Consolidated Balance Sheets, p.49</t>
        </is>
      </c>
      <c r="J289" t="inlineStr">
        <is>
          <t>Annual report (10-K)</t>
        </is>
      </c>
      <c r="K289" t="inlineStr">
        <is>
          <t>not XBRL-tagged (read from filing text)</t>
        </is>
      </c>
      <c r="L289" t="inlineStr"/>
      <c r="M289" t="inlineStr">
        <is>
          <t>https://www.sec.gov/Archives/edgar/data/1318605/000162828026003952/tsla-20251231.htm</t>
        </is>
      </c>
    </row>
    <row r="290">
      <c r="A290" t="inlineStr">
        <is>
          <t>nci</t>
        </is>
      </c>
      <c r="B290" t="inlineStr">
        <is>
          <t>Noncontrolling interests in subsidiaries</t>
        </is>
      </c>
      <c r="C290" t="inlineStr">
        <is>
          <t>Balance sheet</t>
        </is>
      </c>
      <c r="D290" t="inlineStr">
        <is>
          <t>FY2025</t>
        </is>
      </c>
      <c r="E290" s="4" t="n">
        <v>670</v>
      </c>
      <c r="F290" t="inlineStr">
        <is>
          <t>USD m</t>
        </is>
      </c>
      <c r="G290" t="inlineStr">
        <is>
          <t>10-K - FY2025 (year ended 2025-12-31)</t>
        </is>
      </c>
      <c r="H290" t="inlineStr">
        <is>
          <t>0001628280-26-003952</t>
        </is>
      </c>
      <c r="I290" t="inlineStr">
        <is>
          <t>Part II Item 8, Consolidated Balance Sheets, p.49</t>
        </is>
      </c>
      <c r="J290" t="inlineStr">
        <is>
          <t>Annual report (10-K)</t>
        </is>
      </c>
      <c r="K290" t="inlineStr">
        <is>
          <t>not XBRL-tagged (read from filing text)</t>
        </is>
      </c>
      <c r="L290" t="inlineStr"/>
      <c r="M290" t="inlineStr">
        <is>
          <t>https://www.sec.gov/Archives/edgar/data/1318605/000162828026003952/tsla-20251231.htm</t>
        </is>
      </c>
    </row>
    <row r="291">
      <c r="A291" t="inlineStr">
        <is>
          <t>nci</t>
        </is>
      </c>
      <c r="B291" t="inlineStr">
        <is>
          <t>Noncontrolling interests in subsidiaries</t>
        </is>
      </c>
      <c r="C291" t="inlineStr">
        <is>
          <t>Balance sheet</t>
        </is>
      </c>
      <c r="D291" t="inlineStr">
        <is>
          <t>Q2_2026</t>
        </is>
      </c>
      <c r="E291" s="4" t="n">
        <v>607</v>
      </c>
      <c r="F291" t="inlineStr">
        <is>
          <t>USD m</t>
        </is>
      </c>
      <c r="G291" t="inlineStr">
        <is>
          <t>10-Q - Q2 2026 (quarter ended 2026-06-30)</t>
        </is>
      </c>
      <c r="H291" t="inlineStr">
        <is>
          <t>0001628280-26-049270</t>
        </is>
      </c>
      <c r="I291" t="inlineStr">
        <is>
          <t>Part I Item 1, Consolidated Balance Sheets, p.4</t>
        </is>
      </c>
      <c r="J291" t="inlineStr">
        <is>
          <t>Quarterly report (10-Q)</t>
        </is>
      </c>
      <c r="K291" t="inlineStr">
        <is>
          <t>not XBRL-tagged (read from filing text)</t>
        </is>
      </c>
      <c r="L291" t="inlineStr"/>
      <c r="M291" t="inlineStr">
        <is>
          <t>https://www.sec.gov/Archives/edgar/data/1318605/000162828026049270/tsla-20260630.htm</t>
        </is>
      </c>
    </row>
    <row r="292">
      <c r="A292" t="inlineStr">
        <is>
          <t>total_le</t>
        </is>
      </c>
      <c r="B292" t="inlineStr">
        <is>
          <t>Total liabilities and equity</t>
        </is>
      </c>
      <c r="C292" t="inlineStr">
        <is>
          <t>Balance sheet</t>
        </is>
      </c>
      <c r="D292" t="inlineStr">
        <is>
          <t>FY2023</t>
        </is>
      </c>
      <c r="E292" s="4" t="n">
        <v>106618</v>
      </c>
      <c r="F292" t="inlineStr">
        <is>
          <t>USD m</t>
        </is>
      </c>
      <c r="G292" t="inlineStr">
        <is>
          <t>10-K - FY2024 (year ended 2024-12-31)</t>
        </is>
      </c>
      <c r="H292" t="inlineStr">
        <is>
          <t>0001628280-25-003063</t>
        </is>
      </c>
      <c r="I292" t="inlineStr">
        <is>
          <t>Part II Item 8, Consolidated Balance Sheets, p.48</t>
        </is>
      </c>
      <c r="J292" t="inlineStr">
        <is>
          <t>Annual report (10-K)</t>
        </is>
      </c>
      <c r="K292" t="inlineStr">
        <is>
          <t>not XBRL-tagged (read from filing text)</t>
        </is>
      </c>
      <c r="L292" t="inlineStr"/>
      <c r="M292" t="inlineStr">
        <is>
          <t>https://www.sec.gov/Archives/edgar/data/1318605/000162828025003063/tsla-20241231.htm</t>
        </is>
      </c>
    </row>
    <row r="293">
      <c r="A293" t="inlineStr">
        <is>
          <t>total_le</t>
        </is>
      </c>
      <c r="B293" t="inlineStr">
        <is>
          <t>Total liabilities and equity</t>
        </is>
      </c>
      <c r="C293" t="inlineStr">
        <is>
          <t>Balance sheet</t>
        </is>
      </c>
      <c r="D293" t="inlineStr">
        <is>
          <t>FY2024</t>
        </is>
      </c>
      <c r="E293" s="4" t="n">
        <v>122070</v>
      </c>
      <c r="F293" t="inlineStr">
        <is>
          <t>USD m</t>
        </is>
      </c>
      <c r="G293" t="inlineStr">
        <is>
          <t>10-K - FY2025 (year ended 2025-12-31)</t>
        </is>
      </c>
      <c r="H293" t="inlineStr">
        <is>
          <t>0001628280-26-003952</t>
        </is>
      </c>
      <c r="I293" t="inlineStr">
        <is>
          <t>Part II Item 8, Consolidated Balance Sheets, p.49</t>
        </is>
      </c>
      <c r="J293" t="inlineStr">
        <is>
          <t>Annual report (10-K)</t>
        </is>
      </c>
      <c r="K293" t="inlineStr">
        <is>
          <t>not XBRL-tagged (read from filing text)</t>
        </is>
      </c>
      <c r="L293" t="inlineStr"/>
      <c r="M293" t="inlineStr">
        <is>
          <t>https://www.sec.gov/Archives/edgar/data/1318605/000162828026003952/tsla-20251231.htm</t>
        </is>
      </c>
    </row>
    <row r="294">
      <c r="A294" t="inlineStr">
        <is>
          <t>total_le</t>
        </is>
      </c>
      <c r="B294" t="inlineStr">
        <is>
          <t>Total liabilities and equity</t>
        </is>
      </c>
      <c r="C294" t="inlineStr">
        <is>
          <t>Balance sheet</t>
        </is>
      </c>
      <c r="D294" t="inlineStr">
        <is>
          <t>FY2025</t>
        </is>
      </c>
      <c r="E294" s="4" t="n">
        <v>137806</v>
      </c>
      <c r="F294" t="inlineStr">
        <is>
          <t>USD m</t>
        </is>
      </c>
      <c r="G294" t="inlineStr">
        <is>
          <t>10-K - FY2025 (year ended 2025-12-31)</t>
        </is>
      </c>
      <c r="H294" t="inlineStr">
        <is>
          <t>0001628280-26-003952</t>
        </is>
      </c>
      <c r="I294" t="inlineStr">
        <is>
          <t>Part II Item 8, Consolidated Balance Sheets, p.49</t>
        </is>
      </c>
      <c r="J294" t="inlineStr">
        <is>
          <t>Annual report (10-K)</t>
        </is>
      </c>
      <c r="K294" t="inlineStr">
        <is>
          <t>not XBRL-tagged (read from filing text)</t>
        </is>
      </c>
      <c r="L294" t="inlineStr"/>
      <c r="M294" t="inlineStr">
        <is>
          <t>https://www.sec.gov/Archives/edgar/data/1318605/000162828026003952/tsla-20251231.htm</t>
        </is>
      </c>
    </row>
    <row r="295">
      <c r="A295" t="inlineStr">
        <is>
          <t>total_le</t>
        </is>
      </c>
      <c r="B295" t="inlineStr">
        <is>
          <t>Total liabilities and equity</t>
        </is>
      </c>
      <c r="C295" t="inlineStr">
        <is>
          <t>Balance sheet</t>
        </is>
      </c>
      <c r="D295" t="inlineStr">
        <is>
          <t>Q2_2026</t>
        </is>
      </c>
      <c r="E295" s="4" t="n">
        <v>148524</v>
      </c>
      <c r="F295" t="inlineStr">
        <is>
          <t>USD m</t>
        </is>
      </c>
      <c r="G295" t="inlineStr">
        <is>
          <t>10-Q - Q2 2026 (quarter ended 2026-06-30)</t>
        </is>
      </c>
      <c r="H295" t="inlineStr">
        <is>
          <t>0001628280-26-049270</t>
        </is>
      </c>
      <c r="I295" t="inlineStr">
        <is>
          <t>Part I Item 1, Consolidated Balance Sheets, p.4</t>
        </is>
      </c>
      <c r="J295" t="inlineStr">
        <is>
          <t>Quarterly report (10-Q)</t>
        </is>
      </c>
      <c r="K295" t="inlineStr">
        <is>
          <t>not XBRL-tagged (read from filing text)</t>
        </is>
      </c>
      <c r="L295" t="inlineStr"/>
      <c r="M295" t="inlineStr">
        <is>
          <t>https://www.sec.gov/Archives/edgar/data/1318605/000162828026049270/tsla-20260630.htm</t>
        </is>
      </c>
    </row>
    <row r="296">
      <c r="A296" t="inlineStr">
        <is>
          <t>op_lease_liab</t>
        </is>
      </c>
      <c r="B296" t="inlineStr">
        <is>
          <t>Operating lease liabilities (in accrued &amp; other LT liabilities)</t>
        </is>
      </c>
      <c r="C296" t="inlineStr">
        <is>
          <t>Balance sheet</t>
        </is>
      </c>
      <c r="D296" t="inlineStr">
        <is>
          <t>FY2023</t>
        </is>
      </c>
      <c r="E296" s="4" t="n">
        <v>4343</v>
      </c>
      <c r="F296" t="inlineStr">
        <is>
          <t>USD m</t>
        </is>
      </c>
      <c r="G296" t="inlineStr">
        <is>
          <t>10-K - FY2024 (year ended 2024-12-31)</t>
        </is>
      </c>
      <c r="H296" t="inlineStr">
        <is>
          <t>0001628280-25-003063</t>
        </is>
      </c>
      <c r="I296" t="inlineStr">
        <is>
          <t>Note 11 Leases, operating lease liabilities table</t>
        </is>
      </c>
      <c r="J296" t="inlineStr">
        <is>
          <t>Annual report (10-K)</t>
        </is>
      </c>
      <c r="K296" t="inlineStr">
        <is>
          <t>not XBRL-tagged (read from filing text)</t>
        </is>
      </c>
      <c r="L296" t="inlineStr"/>
      <c r="M296" t="inlineStr">
        <is>
          <t>https://www.sec.gov/Archives/edgar/data/1318605/000162828025003063/tsla-20241231.htm</t>
        </is>
      </c>
    </row>
    <row r="297">
      <c r="A297" t="inlineStr">
        <is>
          <t>op_lease_liab</t>
        </is>
      </c>
      <c r="B297" t="inlineStr">
        <is>
          <t>Operating lease liabilities (in accrued &amp; other LT liabilities)</t>
        </is>
      </c>
      <c r="C297" t="inlineStr">
        <is>
          <t>Balance sheet</t>
        </is>
      </c>
      <c r="D297" t="inlineStr">
        <is>
          <t>FY2024</t>
        </is>
      </c>
      <c r="E297" s="4" t="n">
        <v>5410</v>
      </c>
      <c r="F297" t="inlineStr">
        <is>
          <t>USD m</t>
        </is>
      </c>
      <c r="G297" t="inlineStr">
        <is>
          <t>10-K - FY2025 (year ended 2025-12-31)</t>
        </is>
      </c>
      <c r="H297" t="inlineStr">
        <is>
          <t>0001628280-26-003952</t>
        </is>
      </c>
      <c r="I297" t="inlineStr">
        <is>
          <t>Note 10 Leases, operating lease liabilities table</t>
        </is>
      </c>
      <c r="J297" t="inlineStr">
        <is>
          <t>Annual report (10-K)</t>
        </is>
      </c>
      <c r="K297" t="inlineStr">
        <is>
          <t>not XBRL-tagged (read from filing text)</t>
        </is>
      </c>
      <c r="L297" t="inlineStr"/>
      <c r="M297" t="inlineStr">
        <is>
          <t>https://www.sec.gov/Archives/edgar/data/1318605/000162828026003952/tsla-20251231.htm</t>
        </is>
      </c>
    </row>
    <row r="298">
      <c r="A298" t="inlineStr">
        <is>
          <t>op_lease_liab</t>
        </is>
      </c>
      <c r="B298" t="inlineStr">
        <is>
          <t>Operating lease liabilities (in accrued &amp; other LT liabilities)</t>
        </is>
      </c>
      <c r="C298" t="inlineStr">
        <is>
          <t>Balance sheet</t>
        </is>
      </c>
      <c r="D298" t="inlineStr">
        <is>
          <t>FY2025</t>
        </is>
      </c>
      <c r="E298" s="4" t="n">
        <v>6343</v>
      </c>
      <c r="F298" t="inlineStr">
        <is>
          <t>USD m</t>
        </is>
      </c>
      <c r="G298" t="inlineStr">
        <is>
          <t>10-K - FY2025 (year ended 2025-12-31)</t>
        </is>
      </c>
      <c r="H298" t="inlineStr">
        <is>
          <t>0001628280-26-003952</t>
        </is>
      </c>
      <c r="I298" t="inlineStr">
        <is>
          <t>Note 10 Leases, operating lease liabilities table</t>
        </is>
      </c>
      <c r="J298" t="inlineStr">
        <is>
          <t>Annual report (10-K)</t>
        </is>
      </c>
      <c r="K298" t="inlineStr">
        <is>
          <t>not XBRL-tagged (read from filing text)</t>
        </is>
      </c>
      <c r="L298" t="inlineStr"/>
      <c r="M298" t="inlineStr">
        <is>
          <t>https://www.sec.gov/Archives/edgar/data/1318605/000162828026003952/tsla-20251231.htm</t>
        </is>
      </c>
    </row>
    <row r="299">
      <c r="A299" t="inlineStr">
        <is>
          <t>op_lease_liab</t>
        </is>
      </c>
      <c r="B299" t="inlineStr">
        <is>
          <t>Operating lease liabilities (in accrued &amp; other LT liabilities)</t>
        </is>
      </c>
      <c r="C299" t="inlineStr">
        <is>
          <t>Balance sheet</t>
        </is>
      </c>
      <c r="D299" t="inlineStr">
        <is>
          <t>Q2_2026</t>
        </is>
      </c>
      <c r="E299" s="4" t="n">
        <v>6738</v>
      </c>
      <c r="F299" t="inlineStr">
        <is>
          <t>USD m</t>
        </is>
      </c>
      <c r="G299" t="inlineStr">
        <is>
          <t>10-Q - Q2 2026 (quarter ended 2026-06-30)</t>
        </is>
      </c>
      <c r="H299" t="inlineStr">
        <is>
          <t>0001628280-26-049270</t>
        </is>
      </c>
      <c r="I299" t="inlineStr">
        <is>
          <t>XBRL OperatingLeaseLiabilityCurrent (1,022) + Noncurrent (5,716)</t>
        </is>
      </c>
      <c r="J299" t="inlineStr">
        <is>
          <t>Quarterly report (10-Q)</t>
        </is>
      </c>
      <c r="K299" t="inlineStr">
        <is>
          <t>not XBRL-tagged (read from filing text)</t>
        </is>
      </c>
      <c r="L299" t="inlineStr"/>
      <c r="M299" t="inlineStr">
        <is>
          <t>https://www.sec.gov/Archives/edgar/data/1318605/000162828026049270/tsla-20260630.htm</t>
        </is>
      </c>
    </row>
    <row r="300">
      <c r="A300" t="inlineStr">
        <is>
          <t>finance_lease_liab</t>
        </is>
      </c>
      <c r="B300" t="inlineStr">
        <is>
          <t>Finance lease liabilities (in debt &amp; finance leases)</t>
        </is>
      </c>
      <c r="C300" t="inlineStr">
        <is>
          <t>Balance sheet</t>
        </is>
      </c>
      <c r="D300" t="inlineStr">
        <is>
          <t>FY2023</t>
        </is>
      </c>
      <c r="E300" s="4" t="n">
        <v>573</v>
      </c>
      <c r="F300" t="inlineStr">
        <is>
          <t>USD m</t>
        </is>
      </c>
      <c r="G300" t="inlineStr">
        <is>
          <t>10-K - FY2024 (year ended 2024-12-31)</t>
        </is>
      </c>
      <c r="H300" t="inlineStr">
        <is>
          <t>0001628280-25-003063</t>
        </is>
      </c>
      <c r="I300" t="inlineStr">
        <is>
          <t>Note 11 Leases, finance lease liabilities table</t>
        </is>
      </c>
      <c r="J300" t="inlineStr">
        <is>
          <t>Annual report (10-K)</t>
        </is>
      </c>
      <c r="K300" t="inlineStr">
        <is>
          <t>not XBRL-tagged (read from filing text)</t>
        </is>
      </c>
      <c r="L300" t="inlineStr"/>
      <c r="M300" t="inlineStr">
        <is>
          <t>https://www.sec.gov/Archives/edgar/data/1318605/000162828025003063/tsla-20241231.htm</t>
        </is>
      </c>
    </row>
    <row r="301">
      <c r="A301" t="inlineStr">
        <is>
          <t>finance_lease_liab</t>
        </is>
      </c>
      <c r="B301" t="inlineStr">
        <is>
          <t>Finance lease liabilities (in debt &amp; finance leases)</t>
        </is>
      </c>
      <c r="C301" t="inlineStr">
        <is>
          <t>Balance sheet</t>
        </is>
      </c>
      <c r="D301" t="inlineStr">
        <is>
          <t>FY2024</t>
        </is>
      </c>
      <c r="E301" s="4" t="n">
        <v>335</v>
      </c>
      <c r="F301" t="inlineStr">
        <is>
          <t>USD m</t>
        </is>
      </c>
      <c r="G301" t="inlineStr">
        <is>
          <t>10-K - FY2025 (year ended 2025-12-31)</t>
        </is>
      </c>
      <c r="H301" t="inlineStr">
        <is>
          <t>0001628280-26-003952</t>
        </is>
      </c>
      <c r="I301" t="inlineStr">
        <is>
          <t>Note 10 Leases, finance lease liabilities table</t>
        </is>
      </c>
      <c r="J301" t="inlineStr">
        <is>
          <t>Annual report (10-K)</t>
        </is>
      </c>
      <c r="K301" t="inlineStr">
        <is>
          <t>not XBRL-tagged (read from filing text)</t>
        </is>
      </c>
      <c r="L301" t="inlineStr"/>
      <c r="M301" t="inlineStr">
        <is>
          <t>https://www.sec.gov/Archives/edgar/data/1318605/000162828026003952/tsla-20251231.htm</t>
        </is>
      </c>
    </row>
    <row r="302">
      <c r="A302" t="inlineStr">
        <is>
          <t>finance_lease_liab</t>
        </is>
      </c>
      <c r="B302" t="inlineStr">
        <is>
          <t>Finance lease liabilities (in debt &amp; finance leases)</t>
        </is>
      </c>
      <c r="C302" t="inlineStr">
        <is>
          <t>Balance sheet</t>
        </is>
      </c>
      <c r="D302" t="inlineStr">
        <is>
          <t>FY2025</t>
        </is>
      </c>
      <c r="E302" s="4" t="n">
        <v>223</v>
      </c>
      <c r="F302" t="inlineStr">
        <is>
          <t>USD m</t>
        </is>
      </c>
      <c r="G302" t="inlineStr">
        <is>
          <t>10-K - FY2025 (year ended 2025-12-31)</t>
        </is>
      </c>
      <c r="H302" t="inlineStr">
        <is>
          <t>0001628280-26-003952</t>
        </is>
      </c>
      <c r="I302" t="inlineStr">
        <is>
          <t>Note 10 Leases, finance lease liabilities table</t>
        </is>
      </c>
      <c r="J302" t="inlineStr">
        <is>
          <t>Annual report (10-K)</t>
        </is>
      </c>
      <c r="K302" t="inlineStr">
        <is>
          <t>not XBRL-tagged (read from filing text)</t>
        </is>
      </c>
      <c r="L302" t="inlineStr"/>
      <c r="M302" t="inlineStr">
        <is>
          <t>https://www.sec.gov/Archives/edgar/data/1318605/000162828026003952/tsla-20251231.htm</t>
        </is>
      </c>
    </row>
    <row r="303">
      <c r="A303" t="inlineStr">
        <is>
          <t>finance_lease_liab</t>
        </is>
      </c>
      <c r="B303" t="inlineStr">
        <is>
          <t>Finance lease liabilities (in debt &amp; finance leases)</t>
        </is>
      </c>
      <c r="C303" t="inlineStr">
        <is>
          <t>Balance sheet</t>
        </is>
      </c>
      <c r="D303" t="inlineStr">
        <is>
          <t>Q2_2026</t>
        </is>
      </c>
      <c r="E303" s="4" t="n">
        <v>281</v>
      </c>
      <c r="F303" t="inlineStr">
        <is>
          <t>USD m</t>
        </is>
      </c>
      <c r="G303" t="inlineStr">
        <is>
          <t>10-Q - Q2 2026 (quarter ended 2026-06-30)</t>
        </is>
      </c>
      <c r="H303" t="inlineStr">
        <is>
          <t>0001628280-26-049270</t>
        </is>
      </c>
      <c r="I303" t="inlineStr">
        <is>
          <t>XBRL FinanceLeaseLiabilityCurrent (78) + Noncurrent (203)</t>
        </is>
      </c>
      <c r="J303" t="inlineStr">
        <is>
          <t>Quarterly report (10-Q)</t>
        </is>
      </c>
      <c r="K303" t="inlineStr">
        <is>
          <t>not XBRL-tagged (read from filing text)</t>
        </is>
      </c>
      <c r="L303" t="inlineStr"/>
      <c r="M303" t="inlineStr">
        <is>
          <t>https://www.sec.gov/Archives/edgar/data/1318605/000162828026049270/tsla-20260630.htm</t>
        </is>
      </c>
    </row>
    <row r="304">
      <c r="A304" t="inlineStr">
        <is>
          <t>shares_outstanding</t>
        </is>
      </c>
      <c r="B304" t="inlineStr">
        <is>
          <t>Common shares issued and outstanding (M)</t>
        </is>
      </c>
      <c r="C304" t="inlineStr">
        <is>
          <t>Balance sheet</t>
        </is>
      </c>
      <c r="D304" t="inlineStr">
        <is>
          <t>FY2023</t>
        </is>
      </c>
      <c r="E304" s="4" t="n">
        <v>3185</v>
      </c>
      <c r="F304" t="inlineStr">
        <is>
          <t>shares_m</t>
        </is>
      </c>
      <c r="G304" t="inlineStr">
        <is>
          <t>10-K - FY2024 (year ended 2024-12-31)</t>
        </is>
      </c>
      <c r="H304" t="inlineStr">
        <is>
          <t>0001628280-25-003063</t>
        </is>
      </c>
      <c r="I304" t="inlineStr">
        <is>
          <t>Part II Item 8, Consolidated Balance Sheets, p.48</t>
        </is>
      </c>
      <c r="J304" t="inlineStr">
        <is>
          <t>Annual report (10-K)</t>
        </is>
      </c>
      <c r="K304" t="inlineStr">
        <is>
          <t>not XBRL-tagged (read from filing text)</t>
        </is>
      </c>
      <c r="L304" t="inlineStr">
        <is>
          <t>FY2025 and Q2 2026 include ~423.7M unearned 2025 CEO Performance Award restricted shares (10-Q Note 9, p.21) excluded from GAAP diluted EPS until earned.</t>
        </is>
      </c>
      <c r="M304" t="inlineStr">
        <is>
          <t>https://www.sec.gov/Archives/edgar/data/1318605/000162828025003063/tsla-20241231.htm</t>
        </is>
      </c>
    </row>
    <row r="305">
      <c r="A305" t="inlineStr">
        <is>
          <t>shares_outstanding</t>
        </is>
      </c>
      <c r="B305" t="inlineStr">
        <is>
          <t>Common shares issued and outstanding (M)</t>
        </is>
      </c>
      <c r="C305" t="inlineStr">
        <is>
          <t>Balance sheet</t>
        </is>
      </c>
      <c r="D305" t="inlineStr">
        <is>
          <t>FY2024</t>
        </is>
      </c>
      <c r="E305" s="4" t="n">
        <v>3216</v>
      </c>
      <c r="F305" t="inlineStr">
        <is>
          <t>shares_m</t>
        </is>
      </c>
      <c r="G305" t="inlineStr">
        <is>
          <t>10-K - FY2025 (year ended 2025-12-31)</t>
        </is>
      </c>
      <c r="H305" t="inlineStr">
        <is>
          <t>0001628280-26-003952</t>
        </is>
      </c>
      <c r="I305" t="inlineStr">
        <is>
          <t>Part II Item 8, Consolidated Balance Sheets, p.49</t>
        </is>
      </c>
      <c r="J305" t="inlineStr">
        <is>
          <t>Annual report (10-K)</t>
        </is>
      </c>
      <c r="K305" t="inlineStr">
        <is>
          <t>not XBRL-tagged (read from filing text)</t>
        </is>
      </c>
      <c r="L305" t="inlineStr">
        <is>
          <t>FY2025 and Q2 2026 include ~423.7M unearned 2025 CEO Performance Award restricted shares (10-Q Note 9, p.21) excluded from GAAP diluted EPS until earned.</t>
        </is>
      </c>
      <c r="M305" t="inlineStr">
        <is>
          <t>https://www.sec.gov/Archives/edgar/data/1318605/000162828026003952/tsla-20251231.htm</t>
        </is>
      </c>
    </row>
    <row r="306">
      <c r="A306" t="inlineStr">
        <is>
          <t>shares_outstanding</t>
        </is>
      </c>
      <c r="B306" t="inlineStr">
        <is>
          <t>Common shares issued and outstanding (M)</t>
        </is>
      </c>
      <c r="C306" t="inlineStr">
        <is>
          <t>Balance sheet</t>
        </is>
      </c>
      <c r="D306" t="inlineStr">
        <is>
          <t>FY2025</t>
        </is>
      </c>
      <c r="E306" s="4" t="n">
        <v>3751</v>
      </c>
      <c r="F306" t="inlineStr">
        <is>
          <t>shares_m</t>
        </is>
      </c>
      <c r="G306" t="inlineStr">
        <is>
          <t>10-K - FY2025 (year ended 2025-12-31)</t>
        </is>
      </c>
      <c r="H306" t="inlineStr">
        <is>
          <t>0001628280-26-003952</t>
        </is>
      </c>
      <c r="I306" t="inlineStr">
        <is>
          <t>Part II Item 8, Consolidated Balance Sheets, p.49</t>
        </is>
      </c>
      <c r="J306" t="inlineStr">
        <is>
          <t>Annual report (10-K)</t>
        </is>
      </c>
      <c r="K306" t="inlineStr">
        <is>
          <t>not XBRL-tagged (read from filing text)</t>
        </is>
      </c>
      <c r="L306" t="inlineStr">
        <is>
          <t>FY2025 and Q2 2026 include ~423.7M unearned 2025 CEO Performance Award restricted shares (10-Q Note 9, p.21) excluded from GAAP diluted EPS until earned.</t>
        </is>
      </c>
      <c r="M306" t="inlineStr">
        <is>
          <t>https://www.sec.gov/Archives/edgar/data/1318605/000162828026003952/tsla-20251231.htm</t>
        </is>
      </c>
    </row>
    <row r="307">
      <c r="A307" t="inlineStr">
        <is>
          <t>shares_outstanding</t>
        </is>
      </c>
      <c r="B307" t="inlineStr">
        <is>
          <t>Common shares issued and outstanding (M)</t>
        </is>
      </c>
      <c r="C307" t="inlineStr">
        <is>
          <t>Balance sheet</t>
        </is>
      </c>
      <c r="D307" t="inlineStr">
        <is>
          <t>Q2_2026</t>
        </is>
      </c>
      <c r="E307" s="4" t="n">
        <v>3949</v>
      </c>
      <c r="F307" t="inlineStr">
        <is>
          <t>shares_m</t>
        </is>
      </c>
      <c r="G307" t="inlineStr">
        <is>
          <t>10-Q - Q2 2026 (quarter ended 2026-06-30)</t>
        </is>
      </c>
      <c r="H307" t="inlineStr">
        <is>
          <t>0001628280-26-049270</t>
        </is>
      </c>
      <c r="I307" t="inlineStr">
        <is>
          <t>Part I Item 1, Consolidated Balance Sheets, p.4</t>
        </is>
      </c>
      <c r="J307" t="inlineStr">
        <is>
          <t>Quarterly report (10-Q)</t>
        </is>
      </c>
      <c r="K307" t="inlineStr">
        <is>
          <t>not XBRL-tagged (read from filing text)</t>
        </is>
      </c>
      <c r="L307" t="inlineStr">
        <is>
          <t>FY2025 and Q2 2026 include ~423.7M unearned 2025 CEO Performance Award restricted shares (10-Q Note 9, p.21) excluded from GAAP diluted EPS until earned.</t>
        </is>
      </c>
      <c r="M307" t="inlineStr">
        <is>
          <t>https://www.sec.gov/Archives/edgar/data/1318605/000162828026049270/tsla-20260630.htm</t>
        </is>
      </c>
    </row>
    <row r="308">
      <c r="A308" t="inlineStr">
        <is>
          <t>deliveries_3y</t>
        </is>
      </c>
      <c r="B308" t="inlineStr">
        <is>
          <t>Model 3/Y deliveries (units)</t>
        </is>
      </c>
      <c r="C308" t="inlineStr">
        <is>
          <t>Operating KPI</t>
        </is>
      </c>
      <c r="D308" t="inlineStr">
        <is>
          <t>FY2023</t>
        </is>
      </c>
      <c r="E308" s="4" t="n">
        <v>1739707</v>
      </c>
      <c r="F308" t="inlineStr">
        <is>
          <t>units</t>
        </is>
      </c>
      <c r="G308" t="inlineStr">
        <is>
          <t>8-K Ex. 99.1 - Q4/FY2023 production &amp; deliveries</t>
        </is>
      </c>
      <c r="H308" t="inlineStr">
        <is>
          <t>0000950170-24-000282</t>
        </is>
      </c>
      <c r="I308" t="inlineStr">
        <is>
          <t>Ex. 99.1, 2023 table</t>
        </is>
      </c>
      <c r="J308" t="inlineStr">
        <is>
          <t>Current report (8-K Ex. 99.1, IR release filed with SEC)</t>
        </is>
      </c>
      <c r="K308" t="inlineStr">
        <is>
          <t>not XBRL-tagged (read from filing text)</t>
        </is>
      </c>
      <c r="L308" t="inlineStr"/>
      <c r="M308" t="inlineStr">
        <is>
          <t>https://www.sec.gov/Archives/edgar/data/1318605/000095017024000282/tsla-ex99_1.htm</t>
        </is>
      </c>
    </row>
    <row r="309">
      <c r="A309" t="inlineStr">
        <is>
          <t>deliveries_3y</t>
        </is>
      </c>
      <c r="B309" t="inlineStr">
        <is>
          <t>Model 3/Y deliveries (units)</t>
        </is>
      </c>
      <c r="C309" t="inlineStr">
        <is>
          <t>Operating KPI</t>
        </is>
      </c>
      <c r="D309" t="inlineStr">
        <is>
          <t>FY2024</t>
        </is>
      </c>
      <c r="E309" s="4" t="n">
        <v>1704093</v>
      </c>
      <c r="F309" t="inlineStr">
        <is>
          <t>units</t>
        </is>
      </c>
      <c r="G309" t="inlineStr">
        <is>
          <t>8-K Ex. 99.1 - Q4/FY2024 production, deliveries &amp; deployments</t>
        </is>
      </c>
      <c r="H309" t="inlineStr">
        <is>
          <t>0001628280-25-000007</t>
        </is>
      </c>
      <c r="I309" t="inlineStr">
        <is>
          <t>Ex. 99.1, 2024 table</t>
        </is>
      </c>
      <c r="J309" t="inlineStr">
        <is>
          <t>Current report (8-K Ex. 99.1, IR release filed with SEC)</t>
        </is>
      </c>
      <c r="K309" t="inlineStr">
        <is>
          <t>not XBRL-tagged (read from filing text)</t>
        </is>
      </c>
      <c r="L309" t="inlineStr"/>
      <c r="M309" t="inlineStr">
        <is>
          <t>https://www.sec.gov/Archives/edgar/data/1318605/000162828025000007/exhibit991.htm</t>
        </is>
      </c>
    </row>
    <row r="310">
      <c r="A310" t="inlineStr">
        <is>
          <t>deliveries_3y</t>
        </is>
      </c>
      <c r="B310" t="inlineStr">
        <is>
          <t>Model 3/Y deliveries (units)</t>
        </is>
      </c>
      <c r="C310" t="inlineStr">
        <is>
          <t>Operating KPI</t>
        </is>
      </c>
      <c r="D310" t="inlineStr">
        <is>
          <t>FY2025</t>
        </is>
      </c>
      <c r="E310" s="4" t="n">
        <v>1585279</v>
      </c>
      <c r="F310" t="inlineStr">
        <is>
          <t>units</t>
        </is>
      </c>
      <c r="G310" t="inlineStr">
        <is>
          <t>8-K Ex. 99.1 - Q4/FY2025 production, deliveries &amp; deployments</t>
        </is>
      </c>
      <c r="H310" t="inlineStr">
        <is>
          <t>0001628280-26-000016</t>
        </is>
      </c>
      <c r="I310" t="inlineStr">
        <is>
          <t>Ex. 99.1, 2025 table</t>
        </is>
      </c>
      <c r="J310" t="inlineStr">
        <is>
          <t>Current report (8-K Ex. 99.1, IR release filed with SEC)</t>
        </is>
      </c>
      <c r="K310" t="inlineStr">
        <is>
          <t>not XBRL-tagged (read from filing text)</t>
        </is>
      </c>
      <c r="L310" t="inlineStr"/>
      <c r="M310" t="inlineStr">
        <is>
          <t>https://www.sec.gov/Archives/edgar/data/1318605/000162828026000016/exhibit9914.htm</t>
        </is>
      </c>
    </row>
    <row r="311">
      <c r="A311" t="inlineStr">
        <is>
          <t>deliveries_3y</t>
        </is>
      </c>
      <c r="B311" t="inlineStr">
        <is>
          <t>Model 3/Y deliveries (units)</t>
        </is>
      </c>
      <c r="C311" t="inlineStr">
        <is>
          <t>Operating KPI</t>
        </is>
      </c>
      <c r="D311" t="inlineStr">
        <is>
          <t>H1_2026</t>
        </is>
      </c>
      <c r="E311" s="4" t="n">
        <v>809655</v>
      </c>
      <c r="F311" t="inlineStr">
        <is>
          <t>units</t>
        </is>
      </c>
      <c r="G311" t="inlineStr">
        <is>
          <t>8-K Ex. 99.1 - Q2 2026 production, deliveries &amp; deployments</t>
        </is>
      </c>
      <c r="H311" t="inlineStr">
        <is>
          <t>0001628280-26-046717</t>
        </is>
      </c>
      <c r="I311" t="inlineStr">
        <is>
          <t>Q1 (341,893, 8-K 2026-04-02) + Q2 (467,762) Ex. 99.1 tables</t>
        </is>
      </c>
      <c r="J311" t="inlineStr">
        <is>
          <t>Current report (8-K Ex. 99.1, IR release filed with SEC)</t>
        </is>
      </c>
      <c r="K311" t="inlineStr">
        <is>
          <t>not XBRL-tagged (read from filing text)</t>
        </is>
      </c>
      <c r="L311" t="inlineStr"/>
      <c r="M311" t="inlineStr">
        <is>
          <t>https://www.sec.gov/Archives/edgar/data/1318605/000162828026046717/exhibit99111111.htm</t>
        </is>
      </c>
    </row>
    <row r="312">
      <c r="A312" t="inlineStr">
        <is>
          <t>deliveries_other</t>
        </is>
      </c>
      <c r="B312" t="inlineStr">
        <is>
          <t>Other models deliveries (S/X/Cybertruck/Semi/Cybercab) (units)</t>
        </is>
      </c>
      <c r="C312" t="inlineStr">
        <is>
          <t>Operating KPI</t>
        </is>
      </c>
      <c r="D312" t="inlineStr">
        <is>
          <t>FY2023</t>
        </is>
      </c>
      <c r="E312" s="4" t="n">
        <v>68874</v>
      </c>
      <c r="F312" t="inlineStr">
        <is>
          <t>units</t>
        </is>
      </c>
      <c r="G312" t="inlineStr">
        <is>
          <t>8-K Ex. 99.1 - Q4/FY2023 production &amp; deliveries</t>
        </is>
      </c>
      <c r="H312" t="inlineStr">
        <is>
          <t>0000950170-24-000282</t>
        </is>
      </c>
      <c r="I312" t="inlineStr">
        <is>
          <t>Ex. 99.1, 2023 table</t>
        </is>
      </c>
      <c r="J312" t="inlineStr">
        <is>
          <t>Current report (8-K Ex. 99.1, IR release filed with SEC)</t>
        </is>
      </c>
      <c r="K312" t="inlineStr">
        <is>
          <t>not XBRL-tagged (read from filing text)</t>
        </is>
      </c>
      <c r="L312" t="inlineStr"/>
      <c r="M312" t="inlineStr">
        <is>
          <t>https://www.sec.gov/Archives/edgar/data/1318605/000095017024000282/tsla-ex99_1.htm</t>
        </is>
      </c>
    </row>
    <row r="313">
      <c r="A313" t="inlineStr">
        <is>
          <t>deliveries_other</t>
        </is>
      </c>
      <c r="B313" t="inlineStr">
        <is>
          <t>Other models deliveries (S/X/Cybertruck/Semi/Cybercab) (units)</t>
        </is>
      </c>
      <c r="C313" t="inlineStr">
        <is>
          <t>Operating KPI</t>
        </is>
      </c>
      <c r="D313" t="inlineStr">
        <is>
          <t>FY2024</t>
        </is>
      </c>
      <c r="E313" s="4" t="n">
        <v>85133</v>
      </c>
      <c r="F313" t="inlineStr">
        <is>
          <t>units</t>
        </is>
      </c>
      <c r="G313" t="inlineStr">
        <is>
          <t>8-K Ex. 99.1 - Q4/FY2024 production, deliveries &amp; deployments</t>
        </is>
      </c>
      <c r="H313" t="inlineStr">
        <is>
          <t>0001628280-25-000007</t>
        </is>
      </c>
      <c r="I313" t="inlineStr">
        <is>
          <t>Ex. 99.1, 2024 table</t>
        </is>
      </c>
      <c r="J313" t="inlineStr">
        <is>
          <t>Current report (8-K Ex. 99.1, IR release filed with SEC)</t>
        </is>
      </c>
      <c r="K313" t="inlineStr">
        <is>
          <t>not XBRL-tagged (read from filing text)</t>
        </is>
      </c>
      <c r="L313" t="inlineStr"/>
      <c r="M313" t="inlineStr">
        <is>
          <t>https://www.sec.gov/Archives/edgar/data/1318605/000162828025000007/exhibit991.htm</t>
        </is>
      </c>
    </row>
    <row r="314">
      <c r="A314" t="inlineStr">
        <is>
          <t>deliveries_other</t>
        </is>
      </c>
      <c r="B314" t="inlineStr">
        <is>
          <t>Other models deliveries (S/X/Cybertruck/Semi/Cybercab) (units)</t>
        </is>
      </c>
      <c r="C314" t="inlineStr">
        <is>
          <t>Operating KPI</t>
        </is>
      </c>
      <c r="D314" t="inlineStr">
        <is>
          <t>FY2025</t>
        </is>
      </c>
      <c r="E314" s="4" t="n">
        <v>50850</v>
      </c>
      <c r="F314" t="inlineStr">
        <is>
          <t>units</t>
        </is>
      </c>
      <c r="G314" t="inlineStr">
        <is>
          <t>8-K Ex. 99.1 - Q4/FY2025 production, deliveries &amp; deployments</t>
        </is>
      </c>
      <c r="H314" t="inlineStr">
        <is>
          <t>0001628280-26-000016</t>
        </is>
      </c>
      <c r="I314" t="inlineStr">
        <is>
          <t>Ex. 99.1, 2025 table</t>
        </is>
      </c>
      <c r="J314" t="inlineStr">
        <is>
          <t>Current report (8-K Ex. 99.1, IR release filed with SEC)</t>
        </is>
      </c>
      <c r="K314" t="inlineStr">
        <is>
          <t>not XBRL-tagged (read from filing text)</t>
        </is>
      </c>
      <c r="L314" t="inlineStr"/>
      <c r="M314" t="inlineStr">
        <is>
          <t>https://www.sec.gov/Archives/edgar/data/1318605/000162828026000016/exhibit9914.htm</t>
        </is>
      </c>
    </row>
    <row r="315">
      <c r="A315" t="inlineStr">
        <is>
          <t>deliveries_other</t>
        </is>
      </c>
      <c r="B315" t="inlineStr">
        <is>
          <t>Other models deliveries (S/X/Cybertruck/Semi/Cybercab) (units)</t>
        </is>
      </c>
      <c r="C315" t="inlineStr">
        <is>
          <t>Operating KPI</t>
        </is>
      </c>
      <c r="D315" t="inlineStr">
        <is>
          <t>H1_2026</t>
        </is>
      </c>
      <c r="E315" s="4" t="n">
        <v>28494</v>
      </c>
      <c r="F315" t="inlineStr">
        <is>
          <t>units</t>
        </is>
      </c>
      <c r="G315" t="inlineStr">
        <is>
          <t>8-K Ex. 99.1 - Q2 2026 production, deliveries &amp; deployments</t>
        </is>
      </c>
      <c r="H315" t="inlineStr">
        <is>
          <t>0001628280-26-046717</t>
        </is>
      </c>
      <c r="I315" t="inlineStr">
        <is>
          <t>Q1 (16,130, 8-K 2026-04-02) + Q2 (12,364) Ex. 99.1 tables</t>
        </is>
      </c>
      <c r="J315" t="inlineStr">
        <is>
          <t>Current report (8-K Ex. 99.1, IR release filed with SEC)</t>
        </is>
      </c>
      <c r="K315" t="inlineStr">
        <is>
          <t>not XBRL-tagged (read from filing text)</t>
        </is>
      </c>
      <c r="L315" t="inlineStr"/>
      <c r="M315" t="inlineStr">
        <is>
          <t>https://www.sec.gov/Archives/edgar/data/1318605/000162828026046717/exhibit99111111.htm</t>
        </is>
      </c>
    </row>
    <row r="316">
      <c r="A316" t="inlineStr">
        <is>
          <t>storage_gwh</t>
        </is>
      </c>
      <c r="B316" t="inlineStr">
        <is>
          <t>Energy storage deployed (GWh)</t>
        </is>
      </c>
      <c r="C316" t="inlineStr">
        <is>
          <t>Operating KPI</t>
        </is>
      </c>
      <c r="D316" t="inlineStr">
        <is>
          <t>FY2023</t>
        </is>
      </c>
      <c r="E316" s="5" t="n">
        <v>14.7</v>
      </c>
      <c r="F316" t="inlineStr">
        <is>
          <t>GWh</t>
        </is>
      </c>
      <c r="G316" t="inlineStr">
        <is>
          <t>10-K - FY2023 (year ended 2023-12-31)</t>
        </is>
      </c>
      <c r="H316" t="inlineStr">
        <is>
          <t>0001628280-24-002390</t>
        </is>
      </c>
      <c r="I316" t="inlineStr">
        <is>
          <t>Part II Item 7 MD&amp;A, Overview</t>
        </is>
      </c>
      <c r="J316" t="inlineStr">
        <is>
          <t>Annual report (10-K)</t>
        </is>
      </c>
      <c r="K316" t="inlineStr">
        <is>
          <t>not XBRL-tagged (read from filing text)</t>
        </is>
      </c>
      <c r="L316" t="inlineStr"/>
      <c r="M316" t="inlineStr">
        <is>
          <t>https://www.sec.gov/Archives/edgar/data/1318605/000162828024002390/tsla-20231231.htm</t>
        </is>
      </c>
    </row>
    <row r="317">
      <c r="A317" t="inlineStr">
        <is>
          <t>storage_gwh</t>
        </is>
      </c>
      <c r="B317" t="inlineStr">
        <is>
          <t>Energy storage deployed (GWh)</t>
        </is>
      </c>
      <c r="C317" t="inlineStr">
        <is>
          <t>Operating KPI</t>
        </is>
      </c>
      <c r="D317" t="inlineStr">
        <is>
          <t>FY2024</t>
        </is>
      </c>
      <c r="E317" s="5" t="n">
        <v>31.4</v>
      </c>
      <c r="F317" t="inlineStr">
        <is>
          <t>GWh</t>
        </is>
      </c>
      <c r="G317" t="inlineStr">
        <is>
          <t>10-K - FY2024 (year ended 2024-12-31)</t>
        </is>
      </c>
      <c r="H317" t="inlineStr">
        <is>
          <t>0001628280-25-003063</t>
        </is>
      </c>
      <c r="I317" t="inlineStr">
        <is>
          <t>Part II Item 7 MD&amp;A, Overview, p.32</t>
        </is>
      </c>
      <c r="J317" t="inlineStr">
        <is>
          <t>Annual report (10-K)</t>
        </is>
      </c>
      <c r="K317" t="inlineStr">
        <is>
          <t>not XBRL-tagged (read from filing text)</t>
        </is>
      </c>
      <c r="L317" t="inlineStr"/>
      <c r="M317" t="inlineStr">
        <is>
          <t>https://www.sec.gov/Archives/edgar/data/1318605/000162828025003063/tsla-20241231.htm</t>
        </is>
      </c>
    </row>
    <row r="318">
      <c r="A318" t="inlineStr">
        <is>
          <t>storage_gwh</t>
        </is>
      </c>
      <c r="B318" t="inlineStr">
        <is>
          <t>Energy storage deployed (GWh)</t>
        </is>
      </c>
      <c r="C318" t="inlineStr">
        <is>
          <t>Operating KPI</t>
        </is>
      </c>
      <c r="D318" t="inlineStr">
        <is>
          <t>FY2025</t>
        </is>
      </c>
      <c r="E318" s="5" t="n">
        <v>46.7</v>
      </c>
      <c r="F318" t="inlineStr">
        <is>
          <t>GWh</t>
        </is>
      </c>
      <c r="G318" t="inlineStr">
        <is>
          <t>10-K - FY2025 (year ended 2025-12-31)</t>
        </is>
      </c>
      <c r="H318" t="inlineStr">
        <is>
          <t>0001628280-26-003952</t>
        </is>
      </c>
      <c r="I318" t="inlineStr">
        <is>
          <t>Part II Item 7 MD&amp;A, Overview, p.31</t>
        </is>
      </c>
      <c r="J318" t="inlineStr">
        <is>
          <t>Annual report (10-K)</t>
        </is>
      </c>
      <c r="K318" t="inlineStr">
        <is>
          <t>not XBRL-tagged (read from filing text)</t>
        </is>
      </c>
      <c r="L318" t="inlineStr"/>
      <c r="M318" t="inlineStr">
        <is>
          <t>https://www.sec.gov/Archives/edgar/data/1318605/000162828026003952/tsla-20251231.htm</t>
        </is>
      </c>
    </row>
    <row r="319">
      <c r="A319" t="inlineStr">
        <is>
          <t>storage_gwh</t>
        </is>
      </c>
      <c r="B319" t="inlineStr">
        <is>
          <t>Energy storage deployed (GWh)</t>
        </is>
      </c>
      <c r="C319" t="inlineStr">
        <is>
          <t>Operating KPI</t>
        </is>
      </c>
      <c r="D319" t="inlineStr">
        <is>
          <t>H1_2026</t>
        </is>
      </c>
      <c r="E319" s="5" t="n">
        <v>22.3</v>
      </c>
      <c r="F319" t="inlineStr">
        <is>
          <t>GWh</t>
        </is>
      </c>
      <c r="G319" t="inlineStr">
        <is>
          <t>10-Q - Q2 2026 (quarter ended 2026-06-30)</t>
        </is>
      </c>
      <c r="H319" t="inlineStr">
        <is>
          <t>0001628280-26-049270</t>
        </is>
      </c>
      <c r="I319" t="inlineStr">
        <is>
          <t>Part I Item 2 MD&amp;A, Overview, p.28</t>
        </is>
      </c>
      <c r="J319" t="inlineStr">
        <is>
          <t>Quarterly report (10-Q)</t>
        </is>
      </c>
      <c r="K319" t="inlineStr">
        <is>
          <t>not XBRL-tagged (read from filing text)</t>
        </is>
      </c>
      <c r="L319" t="inlineStr"/>
      <c r="M319" t="inlineStr">
        <is>
          <t>https://www.sec.gov/Archives/edgar/data/1318605/000162828026049270/tsla-20260630.htm</t>
        </is>
      </c>
    </row>
    <row r="320">
      <c r="A320" t="inlineStr">
        <is>
          <t>debt_maturities</t>
        </is>
      </c>
      <c r="B320" t="inlineStr">
        <is>
          <t>Scheduled debt principal maturities as of 2025-12-31</t>
        </is>
      </c>
      <c r="C320" t="inlineStr">
        <is>
          <t>Obligations / guidance</t>
        </is>
      </c>
      <c r="D320" t="inlineStr">
        <is>
          <t>as disclosed</t>
        </is>
      </c>
      <c r="E320" t="inlineStr">
        <is>
          <t>2026: 1,576; 2027: 1,233; 2028: 649; 2029: 4,386; 2030: 89; thereafter: 244</t>
        </is>
      </c>
      <c r="F320" t="inlineStr">
        <is>
          <t>USD m</t>
        </is>
      </c>
      <c r="G320" t="inlineStr">
        <is>
          <t>10-K - FY2025 (year ended 2025-12-31)</t>
        </is>
      </c>
      <c r="H320" t="inlineStr">
        <is>
          <t>0001628280-26-003952</t>
        </is>
      </c>
      <c r="I320" t="inlineStr">
        <is>
          <t>Note 9 Debt, future scheduled principal maturities, p.75</t>
        </is>
      </c>
      <c r="J320" t="inlineStr">
        <is>
          <t>Annual report (10-K)</t>
        </is>
      </c>
      <c r="K320" t="inlineStr">
        <is>
          <t>read from filing text</t>
        </is>
      </c>
      <c r="L320" t="inlineStr"/>
      <c r="M320" t="inlineStr">
        <is>
          <t>https://www.sec.gov/Archives/edgar/data/1318605/000162828026003952/tsla-20251231.htm</t>
        </is>
      </c>
    </row>
    <row r="321">
      <c r="A321" t="inlineStr">
        <is>
          <t>finance_lease_payments</t>
        </is>
      </c>
      <c r="B321" t="inlineStr">
        <is>
          <t>Finance lease minimum payments as of 2025-12-31</t>
        </is>
      </c>
      <c r="C321" t="inlineStr">
        <is>
          <t>Obligations / guidance</t>
        </is>
      </c>
      <c r="D321" t="inlineStr">
        <is>
          <t>as disclosed</t>
        </is>
      </c>
      <c r="E321" t="inlineStr">
        <is>
          <t>2026: 80; 2027: 72; 2028: 27; 2029: 22; 2030: 22; thereafter: 23</t>
        </is>
      </c>
      <c r="F321" t="inlineStr">
        <is>
          <t>USD m</t>
        </is>
      </c>
      <c r="G321" t="inlineStr">
        <is>
          <t>10-K - FY2025 (year ended 2025-12-31)</t>
        </is>
      </c>
      <c r="H321" t="inlineStr">
        <is>
          <t>0001628280-26-003952</t>
        </is>
      </c>
      <c r="I321" t="inlineStr">
        <is>
          <t>Note 10 Leases, maturity table (finance leases column)</t>
        </is>
      </c>
      <c r="J321" t="inlineStr">
        <is>
          <t>Annual report (10-K)</t>
        </is>
      </c>
      <c r="K321" t="inlineStr">
        <is>
          <t>read from filing text</t>
        </is>
      </c>
      <c r="L321" t="inlineStr"/>
      <c r="M321" t="inlineStr">
        <is>
          <t>https://www.sec.gov/Archives/edgar/data/1318605/000162828026003952/tsla-20251231.htm</t>
        </is>
      </c>
    </row>
    <row r="322">
      <c r="A322" t="inlineStr">
        <is>
          <t>unused_committed_credit_q2_2026</t>
        </is>
      </c>
      <c r="B322" t="inlineStr">
        <is>
          <t>Unused committed credit (recourse revolver)</t>
        </is>
      </c>
      <c r="C322" t="inlineStr">
        <is>
          <t>Obligations / guidance</t>
        </is>
      </c>
      <c r="D322" t="inlineStr">
        <is>
          <t>as disclosed</t>
        </is>
      </c>
      <c r="E322" s="4" t="n">
        <v>5000</v>
      </c>
      <c r="F322" t="inlineStr">
        <is>
          <t>USD m</t>
        </is>
      </c>
      <c r="G322" t="inlineStr">
        <is>
          <t>10-Q - Q2 2026 (quarter ended 2026-06-30)</t>
        </is>
      </c>
      <c r="H322" t="inlineStr">
        <is>
          <t>0001628280-26-049270</t>
        </is>
      </c>
      <c r="I322" t="inlineStr">
        <is>
          <t>Part I Item 2, Liquidity - Sources and Conditions of Liquidity, p.35; Note 8 Debt table</t>
        </is>
      </c>
      <c r="J322" t="inlineStr">
        <is>
          <t>Quarterly report (10-Q)</t>
        </is>
      </c>
      <c r="K322" t="inlineStr">
        <is>
          <t>read from filing text</t>
        </is>
      </c>
      <c r="L322" t="inlineStr"/>
      <c r="M322" t="inlineStr">
        <is>
          <t>https://www.sec.gov/Archives/edgar/data/1318605/000162828026049270/tsla-20260630.htm</t>
        </is>
      </c>
    </row>
    <row r="323">
      <c r="A323" t="inlineStr">
        <is>
          <t>capex_guidance_2026</t>
        </is>
      </c>
      <c r="B323" t="inlineStr">
        <is>
          <t>2026 capital expenditure guidance</t>
        </is>
      </c>
      <c r="C323" t="inlineStr">
        <is>
          <t>Obligations / guidance</t>
        </is>
      </c>
      <c r="D323" t="inlineStr">
        <is>
          <t>as disclosed</t>
        </is>
      </c>
      <c r="E323" s="4" t="n">
        <v>25000</v>
      </c>
      <c r="F323" t="inlineStr">
        <is>
          <t>USD m</t>
        </is>
      </c>
      <c r="G323" t="inlineStr">
        <is>
          <t>10-Q - Q2 2026 (quarter ended 2026-06-30)</t>
        </is>
      </c>
      <c r="H323" t="inlineStr">
        <is>
          <t>0001628280-26-049270</t>
        </is>
      </c>
      <c r="I323" t="inlineStr">
        <is>
          <t>Part I Item 2, Liquidity - Material Cash Requirements, p.35</t>
        </is>
      </c>
      <c r="J323" t="inlineStr">
        <is>
          <t>Quarterly report (10-Q)</t>
        </is>
      </c>
      <c r="K323" t="inlineStr">
        <is>
          <t>read from filing text</t>
        </is>
      </c>
      <c r="L323" t="inlineStr">
        <is>
          <t>in excess of</t>
        </is>
      </c>
      <c r="M323" t="inlineStr">
        <is>
          <t>https://www.sec.gov/Archives/edgar/data/1318605/000162828026049270/tsla-20260630.htm</t>
        </is>
      </c>
    </row>
    <row r="324">
      <c r="A324" t="inlineStr">
        <is>
          <t>spacex_investment_carrying</t>
        </is>
      </c>
      <c r="B324" t="inlineStr">
        <is>
          <t>SpaceX equity investment (cost 2,002 + unrealized gain 1,005)</t>
        </is>
      </c>
      <c r="C324" t="inlineStr">
        <is>
          <t>Obligations / guidance</t>
        </is>
      </c>
      <c r="D324" t="inlineStr">
        <is>
          <t>as disclosed</t>
        </is>
      </c>
      <c r="E324" s="4" t="n">
        <v>3007</v>
      </c>
      <c r="F324" t="inlineStr">
        <is>
          <t>USD m</t>
        </is>
      </c>
      <c r="G324" t="inlineStr">
        <is>
          <t>10-Q - Q2 2026 (quarter ended 2026-06-30)</t>
        </is>
      </c>
      <c r="H324" t="inlineStr">
        <is>
          <t>0001628280-26-049270</t>
        </is>
      </c>
      <c r="I324" t="inlineStr">
        <is>
          <t>Consolidated Statements of Cash Flows p.8-9 (purchase and unrealized gain lines); derived carrying value</t>
        </is>
      </c>
      <c r="J324" t="inlineStr">
        <is>
          <t>Quarterly report (10-Q)</t>
        </is>
      </c>
      <c r="K324" t="inlineStr">
        <is>
          <t>read from filing text</t>
        </is>
      </c>
      <c r="L324" t="inlineStr"/>
      <c r="M324" t="inlineStr">
        <is>
          <t>https://www.sec.gov/Archives/edgar/data/1318605/000162828026049270/tsla-20260630.htm</t>
        </is>
      </c>
    </row>
    <row r="325">
      <c r="A325" t="inlineStr">
        <is>
          <t>ceo_2025_award_unearned_shares</t>
        </is>
      </c>
      <c r="B325" t="inlineStr">
        <is>
          <t>Unearned 2025 CEO Performance Award restricted shares (M)</t>
        </is>
      </c>
      <c r="C325" t="inlineStr">
        <is>
          <t>Obligations / guidance</t>
        </is>
      </c>
      <c r="D325" t="inlineStr">
        <is>
          <t>as disclosed</t>
        </is>
      </c>
      <c r="E325" s="4" t="n">
        <v>423.7</v>
      </c>
      <c r="F325" t="inlineStr">
        <is>
          <t>shares m</t>
        </is>
      </c>
      <c r="G325" t="inlineStr">
        <is>
          <t>10-Q - Q2 2026 (quarter ended 2026-06-30)</t>
        </is>
      </c>
      <c r="H325" t="inlineStr">
        <is>
          <t>0001628280-26-049270</t>
        </is>
      </c>
      <c r="I325" t="inlineStr">
        <is>
          <t>Note 9 Equity Incentive Plans - 2025 CEO Performance Award, p.21</t>
        </is>
      </c>
      <c r="J325" t="inlineStr">
        <is>
          <t>Quarterly report (10-Q)</t>
        </is>
      </c>
      <c r="K325" t="inlineStr">
        <is>
          <t>read from filing text</t>
        </is>
      </c>
      <c r="L325" t="inlineStr"/>
      <c r="M325" t="inlineStr">
        <is>
          <t>https://www.sec.gov/Archives/edgar/data/1318605/000162828026049270/tsla-20260630.htm</t>
        </is>
      </c>
    </row>
    <row r="326">
      <c r="A326" t="inlineStr">
        <is>
          <t>price</t>
        </is>
      </c>
      <c r="B326" t="inlineStr">
        <is>
          <t>price</t>
        </is>
      </c>
      <c r="C326" t="inlineStr">
        <is>
          <t>Market data</t>
        </is>
      </c>
      <c r="D326" t="inlineStr">
        <is>
          <t>2026-09-24</t>
        </is>
      </c>
      <c r="E326" s="4" t="n">
        <v>378.25</v>
      </c>
      <c r="F326" t="inlineStr">
        <is>
          <t>USD/share</t>
        </is>
      </c>
      <c r="G326" t="inlineStr">
        <is>
          <t>Yahoo Finance chart API / Nasdaq quote API (intraday last sale at compile time)</t>
        </is>
      </c>
      <c r="H326" t="inlineStr"/>
      <c r="I326" t="inlineStr"/>
      <c r="J326" t="inlineStr">
        <is>
          <t>Market data</t>
        </is>
      </c>
      <c r="K326" t="inlineStr">
        <is>
          <t>seed</t>
        </is>
      </c>
      <c r="L326" t="inlineStr"/>
      <c r="M326" t="inlineStr"/>
    </row>
    <row r="327">
      <c r="A327" t="inlineStr">
        <is>
          <t>risk_free</t>
        </is>
      </c>
      <c r="B327" t="inlineStr">
        <is>
          <t>risk free</t>
        </is>
      </c>
      <c r="C327" t="inlineStr">
        <is>
          <t>Market data</t>
        </is>
      </c>
      <c r="D327" t="inlineStr">
        <is>
          <t>2026-09-23</t>
        </is>
      </c>
      <c r="E327" s="5" t="n">
        <v>0.0511</v>
      </c>
      <c r="F327" t="inlineStr">
        <is>
          <t>ratio</t>
        </is>
      </c>
      <c r="G327" t="inlineStr">
        <is>
          <t>U.S. Treasury daily par yield curve, 10-year CMT</t>
        </is>
      </c>
      <c r="H327" t="inlineStr"/>
      <c r="I327" t="inlineStr"/>
      <c r="J327" t="inlineStr">
        <is>
          <t>Market data</t>
        </is>
      </c>
      <c r="K327" t="inlineStr">
        <is>
          <t>seed</t>
        </is>
      </c>
      <c r="L327" t="inlineStr"/>
      <c r="M327" t="inlineStr"/>
    </row>
    <row r="328">
      <c r="A328" t="inlineStr">
        <is>
          <t>tsla_beta_observed</t>
        </is>
      </c>
      <c r="B328" t="inlineStr">
        <is>
          <t>tsla beta observed</t>
        </is>
      </c>
      <c r="C328" t="inlineStr">
        <is>
          <t>Market data</t>
        </is>
      </c>
      <c r="D328" t="inlineStr">
        <is>
          <t>2026-09-24</t>
        </is>
      </c>
      <c r="E328" s="5" t="n">
        <v>1.76</v>
      </c>
      <c r="F328" t="inlineStr">
        <is>
          <t>ratio</t>
        </is>
      </c>
      <c r="G328" t="inlineStr">
        <is>
          <t>Yahoo Finance chart API, computed by tsla_model.data_ingestion</t>
        </is>
      </c>
      <c r="H328" t="inlineStr"/>
      <c r="I328" t="inlineStr">
        <is>
          <t>OLS slope of 5 years of monthly total returns (adjusted close) vs. S&amp;P 500 (^GSPC), 59 observations</t>
        </is>
      </c>
      <c r="J328" t="inlineStr">
        <is>
          <t>Market data</t>
        </is>
      </c>
      <c r="K328" t="inlineStr">
        <is>
          <t>seed</t>
        </is>
      </c>
      <c r="L328" t="inlineStr"/>
      <c r="M328" t="inlineStr"/>
    </row>
    <row r="329">
      <c r="A329" t="inlineStr">
        <is>
          <t>peer_GM</t>
        </is>
      </c>
      <c r="B329" t="inlineStr">
        <is>
          <t>Peer GM beta / market cap / debt</t>
        </is>
      </c>
      <c r="C329" t="inlineStr">
        <is>
          <t>Market data</t>
        </is>
      </c>
      <c r="D329" t="inlineStr">
        <is>
          <t>2026-09-24</t>
        </is>
      </c>
      <c r="E329" t="inlineStr">
        <is>
          <t>beta 1.42, mcap 72,596, debt 16,000</t>
        </is>
      </c>
      <c r="F329" t="inlineStr">
        <is>
          <t>mixed</t>
        </is>
      </c>
      <c r="G329" t="inlineStr">
        <is>
          <t>Yahoo/Nasdaq market data; SEC XBRL (debt)</t>
        </is>
      </c>
      <c r="H329" t="inlineStr"/>
      <c r="I329" t="inlineStr"/>
      <c r="J329" t="inlineStr">
        <is>
          <t>Market data + judgment (debt)</t>
        </is>
      </c>
      <c r="K329" t="inlineStr"/>
      <c r="L329" t="inlineStr">
        <is>
          <t>Debt is JUDGMENT: approximate GM automotive (ex-GM Financial) debt. Captive-finance debt funds a lending book, not operating leverage, so it is excluded. Revenue/NI: FY2025 10-K XBRL.</t>
        </is>
      </c>
      <c r="M329" t="inlineStr"/>
    </row>
    <row r="330">
      <c r="A330" t="inlineStr">
        <is>
          <t>peer_F</t>
        </is>
      </c>
      <c r="B330" t="inlineStr">
        <is>
          <t>Peer F beta / market cap / debt</t>
        </is>
      </c>
      <c r="C330" t="inlineStr">
        <is>
          <t>Market data</t>
        </is>
      </c>
      <c r="D330" t="inlineStr">
        <is>
          <t>2026-09-24</t>
        </is>
      </c>
      <c r="E330" t="inlineStr">
        <is>
          <t>beta 1.89, mcap 50,271, debt 20,000</t>
        </is>
      </c>
      <c r="F330" t="inlineStr">
        <is>
          <t>mixed</t>
        </is>
      </c>
      <c r="G330" t="inlineStr">
        <is>
          <t>Yahoo/Nasdaq market data; SEC XBRL (debt)</t>
        </is>
      </c>
      <c r="H330" t="inlineStr"/>
      <c r="I330" t="inlineStr"/>
      <c r="J330" t="inlineStr">
        <is>
          <t>Market data + judgment (debt)</t>
        </is>
      </c>
      <c r="K330" t="inlineStr"/>
      <c r="L330" t="inlineStr">
        <is>
          <t>Debt is JUDGMENT: approximate Company-excluding-Ford-Credit debt. FY2025 net income not available in clean XBRL tags, so excluded from P/E.</t>
        </is>
      </c>
      <c r="M330" t="inlineStr"/>
    </row>
    <row r="331">
      <c r="A331" t="inlineStr">
        <is>
          <t>peer_RIVN</t>
        </is>
      </c>
      <c r="B331" t="inlineStr">
        <is>
          <t>Peer RIVN beta / market cap / debt</t>
        </is>
      </c>
      <c r="C331" t="inlineStr">
        <is>
          <t>Market data</t>
        </is>
      </c>
      <c r="D331" t="inlineStr">
        <is>
          <t>2026-09-24</t>
        </is>
      </c>
      <c r="E331" t="inlineStr">
        <is>
          <t>beta 1.67, mcap 21,855, debt 4,475</t>
        </is>
      </c>
      <c r="F331" t="inlineStr">
        <is>
          <t>mixed</t>
        </is>
      </c>
      <c r="G331" t="inlineStr">
        <is>
          <t>Yahoo/Nasdaq market data; SEC XBRL (debt)</t>
        </is>
      </c>
      <c r="H331" t="inlineStr"/>
      <c r="I331" t="inlineStr"/>
      <c r="J331" t="inlineStr">
        <is>
          <t>Market data</t>
        </is>
      </c>
      <c r="K331" t="inlineStr"/>
      <c r="L331" t="inlineStr">
        <is>
          <t>Debt: XBRL DebtInstrumentCarryingAmount at 2026-06-30. Loss-making, so 0% tax shield assumed in unlevering.</t>
        </is>
      </c>
      <c r="M331" t="inlineStr"/>
    </row>
    <row r="332">
      <c r="A332" t="inlineStr">
        <is>
          <t>peer_LCID</t>
        </is>
      </c>
      <c r="B332" t="inlineStr">
        <is>
          <t>Peer LCID beta / market cap / debt</t>
        </is>
      </c>
      <c r="C332" t="inlineStr">
        <is>
          <t>Market data</t>
        </is>
      </c>
      <c r="D332" t="inlineStr">
        <is>
          <t>2026-09-24</t>
        </is>
      </c>
      <c r="E332" t="inlineStr">
        <is>
          <t>beta 0.76, mcap 1,608, debt 3,254</t>
        </is>
      </c>
      <c r="F332" t="inlineStr">
        <is>
          <t>mixed</t>
        </is>
      </c>
      <c r="G332" t="inlineStr">
        <is>
          <t>Yahoo/Nasdaq market data; SEC XBRL (debt)</t>
        </is>
      </c>
      <c r="H332" t="inlineStr"/>
      <c r="I332" t="inlineStr"/>
      <c r="J332" t="inlineStr">
        <is>
          <t>Market data</t>
        </is>
      </c>
      <c r="K332" t="inlineStr"/>
      <c r="L332" t="inlineStr">
        <is>
          <t>Debt: XBRL DebtLongtermAndShorttermCombinedAmount at 2026-06-30. Very high D/E; low observed beta likely reflects idiosyncratic/financing-driven price action.</t>
        </is>
      </c>
      <c r="M332" t="inlineStr"/>
    </row>
    <row r="333">
      <c r="A333" t="inlineStr">
        <is>
          <t>peer_ENPH</t>
        </is>
      </c>
      <c r="B333" t="inlineStr">
        <is>
          <t>Peer ENPH beta / market cap / debt</t>
        </is>
      </c>
      <c r="C333" t="inlineStr">
        <is>
          <t>Market data</t>
        </is>
      </c>
      <c r="D333" t="inlineStr">
        <is>
          <t>2026-09-24</t>
        </is>
      </c>
      <c r="E333" t="inlineStr">
        <is>
          <t>beta 1.4, mcap 4,185, debt 573</t>
        </is>
      </c>
      <c r="F333" t="inlineStr">
        <is>
          <t>mixed</t>
        </is>
      </c>
      <c r="G333" t="inlineStr">
        <is>
          <t>Yahoo/Nasdaq market data; SEC XBRL (debt)</t>
        </is>
      </c>
      <c r="H333" t="inlineStr"/>
      <c r="I333" t="inlineStr"/>
      <c r="J333" t="inlineStr">
        <is>
          <t>Market data</t>
        </is>
      </c>
      <c r="K333" t="inlineStr"/>
      <c r="L333" t="inlineStr">
        <is>
          <t>Debt: XBRL LongTermDebt at 2026-03-31.</t>
        </is>
      </c>
      <c r="M333" t="inlineStr"/>
    </row>
    <row r="334">
      <c r="A334" t="inlineStr">
        <is>
          <t>peer_FLNC</t>
        </is>
      </c>
      <c r="B334" t="inlineStr">
        <is>
          <t>Peer FLNC beta / market cap / debt</t>
        </is>
      </c>
      <c r="C334" t="inlineStr">
        <is>
          <t>Market data</t>
        </is>
      </c>
      <c r="D334" t="inlineStr">
        <is>
          <t>2026-09-24</t>
        </is>
      </c>
      <c r="E334" t="inlineStr">
        <is>
          <t>beta 2.74, mcap 1,347, debt 392</t>
        </is>
      </c>
      <c r="F334" t="inlineStr">
        <is>
          <t>mixed</t>
        </is>
      </c>
      <c r="G334" t="inlineStr">
        <is>
          <t>Yahoo/Nasdaq market data; SEC XBRL (debt)</t>
        </is>
      </c>
      <c r="H334" t="inlineStr"/>
      <c r="I334" t="inlineStr"/>
      <c r="J334" t="inlineStr">
        <is>
          <t>Market data</t>
        </is>
      </c>
      <c r="K334" t="inlineStr"/>
      <c r="L334" t="inlineStr">
        <is>
          <t>Debt: XBRL ConvertibleLongTermNotesPayable at 2026-06-30. Fiscal year ends Sept 30. Loss-making, so 0% tax shield.</t>
        </is>
      </c>
      <c r="M3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15" customWidth="1" min="4" max="4"/>
    <col width="10" customWidth="1" min="5" max="5"/>
    <col width="55" customWidth="1" min="6" max="6"/>
    <col width="55" customWidth="1" min="7" max="7"/>
    <col width="10" customWidth="1" min="8" max="8"/>
    <col width="10" customWidth="1" min="9" max="9"/>
    <col width="10" customWidth="1" min="10" max="10"/>
    <col width="14" customWidth="1" min="11" max="11"/>
    <col width="55" customWidth="1" min="12" max="12"/>
    <col width="55" customWidth="1" min="13" max="13"/>
  </cols>
  <sheetData>
    <row r="1">
      <c r="A1" s="1" t="inlineStr">
        <is>
          <t>Operating drivers - Base scenario</t>
        </is>
      </c>
    </row>
    <row r="2">
      <c r="A2" s="6" t="inlineStr">
        <is>
          <t>Types: history = held at/derived from reported data; guidance = company-stated; judgment = analyst estimate with rationale. Percent drivers are decimals (0.21 = 21%).</t>
        </is>
      </c>
    </row>
    <row r="3">
      <c r="A3" s="3" t="inlineStr">
        <is>
          <t>ID</t>
        </is>
      </c>
      <c r="B3" s="3" t="inlineStr">
        <is>
          <t>Category</t>
        </is>
      </c>
      <c r="C3" s="3" t="inlineStr">
        <is>
          <t>Assumption</t>
        </is>
      </c>
      <c r="D3" s="3" t="inlineStr">
        <is>
          <t>Unit</t>
        </is>
      </c>
      <c r="E3" s="3" t="inlineStr">
        <is>
          <t>Type</t>
        </is>
      </c>
      <c r="F3" s="3" t="inlineStr">
        <is>
          <t>FY2026E</t>
        </is>
      </c>
      <c r="G3" s="3" t="inlineStr">
        <is>
          <t>FY2027E</t>
        </is>
      </c>
      <c r="H3" s="3" t="inlineStr">
        <is>
          <t>FY2028E</t>
        </is>
      </c>
      <c r="I3" s="3" t="inlineStr">
        <is>
          <t>FY2029E</t>
        </is>
      </c>
      <c r="J3" s="3" t="inlineStr">
        <is>
          <t>FY2030E</t>
        </is>
      </c>
      <c r="K3" s="3" t="inlineStr">
        <is>
          <t>Same as base</t>
        </is>
      </c>
      <c r="L3" s="3" t="inlineStr">
        <is>
          <t>Source</t>
        </is>
      </c>
      <c r="M3" s="3" t="inlineStr">
        <is>
          <t>Rationale</t>
        </is>
      </c>
    </row>
    <row r="4">
      <c r="A4" t="inlineStr">
        <is>
          <t>deliveries_3y</t>
        </is>
      </c>
      <c r="B4" t="inlineStr">
        <is>
          <t>Automotive volume &amp; price</t>
        </is>
      </c>
      <c r="C4" t="inlineStr">
        <is>
          <t>Model 3/Y deliveries (thousand units)</t>
        </is>
      </c>
      <c r="D4" t="inlineStr">
        <is>
          <t>k_units</t>
        </is>
      </c>
      <c r="E4" t="inlineStr">
        <is>
          <t>judgment</t>
        </is>
      </c>
      <c r="F4" s="7" t="n">
        <v>1650</v>
      </c>
      <c r="G4" s="7" t="n">
        <v>1720</v>
      </c>
      <c r="H4" s="7" t="n">
        <v>1790</v>
      </c>
      <c r="I4" s="7" t="n">
        <v>1850</v>
      </c>
      <c r="J4" s="7" t="n">
        <v>1900</v>
      </c>
      <c r="K4" t="b">
        <v>0</v>
      </c>
      <c r="L4" t="inlineStr">
        <is>
          <t>8-K Ex. 99.1 delivery releases: FY2025 1,585k; H1 2026 810k</t>
        </is>
      </c>
      <c r="M4" t="inlineStr">
        <is>
          <t>FY2026 = H1 2026 actual (~810k) plus an H2 slightly below H2 2025, which was pulled forward by the Sept-2025 U.S. EV tax-credit expiry. Thereafter low-single-digit growth as the refreshed/standard trims and new markets offset an ageing line-up and intensifying Chinese competition.</t>
        </is>
      </c>
    </row>
    <row r="5">
      <c r="A5" t="inlineStr">
        <is>
          <t>deliveries_other</t>
        </is>
      </c>
      <c r="B5" t="inlineStr">
        <is>
          <t>Automotive volume &amp; price</t>
        </is>
      </c>
      <c r="C5" t="inlineStr">
        <is>
          <t>Other models deliveries incl. Cybercab/Semi (thousand units)</t>
        </is>
      </c>
      <c r="D5" t="inlineStr">
        <is>
          <t>k_units</t>
        </is>
      </c>
      <c r="E5" t="inlineStr">
        <is>
          <t>judgment</t>
        </is>
      </c>
      <c r="F5" s="7" t="n">
        <v>58</v>
      </c>
      <c r="G5" s="7" t="n">
        <v>110</v>
      </c>
      <c r="H5" s="7" t="n">
        <v>190</v>
      </c>
      <c r="I5" s="7" t="n">
        <v>280</v>
      </c>
      <c r="J5" s="7" t="n">
        <v>360</v>
      </c>
      <c r="K5" t="b">
        <v>0</v>
      </c>
      <c r="L5" t="inlineStr">
        <is>
          <t>8-K Ex. 99.1: FY2025 50.9k; H1 2026 28.5k; Cybercab production began H1 2026 (10-Q p.29)</t>
        </is>
      </c>
      <c r="M5" t="inlineStr">
        <is>
          <t>S/X/Cybertruck volumes are small and declining; growth comes from Cybercab and Semi, which Tesla began producing in 2026. The ramp is a judgment - Tesla gives no unit guidance.</t>
        </is>
      </c>
    </row>
    <row r="6">
      <c r="A6" t="inlineStr">
        <is>
          <t>asp_3y</t>
        </is>
      </c>
      <c r="B6" t="inlineStr">
        <is>
          <t>Automotive volume &amp; price</t>
        </is>
      </c>
      <c r="C6" t="inlineStr">
        <is>
          <t>Model 3/Y average selling price ($ thousand)</t>
        </is>
      </c>
      <c r="D6" t="inlineStr">
        <is>
          <t>usd_k</t>
        </is>
      </c>
      <c r="E6" t="inlineStr">
        <is>
          <t>judgment</t>
        </is>
      </c>
      <c r="F6" s="7" t="n">
        <v>40.8</v>
      </c>
      <c r="G6" s="7" t="n">
        <v>40.4</v>
      </c>
      <c r="H6" s="7" t="n">
        <v>40</v>
      </c>
      <c r="I6" s="7" t="n">
        <v>39.6</v>
      </c>
      <c r="J6" s="7" t="n">
        <v>39.2</v>
      </c>
      <c r="K6" t="b">
        <v>0</v>
      </c>
      <c r="L6" t="inlineStr">
        <is>
          <t>Derived: automotive sales / (3Y + 2x other deliveries). FY2025 $39.0k; H1 2026 $40.9k</t>
        </is>
      </c>
      <c r="M6" t="inlineStr">
        <is>
          <t>Tesla does not disclose revenue by model. History is split assuming other models carry ~2x the 3/Y price (list-price relationship). Forecast holds near the H1 2026 level, drifting down ~1%/yr for price competition and mix toward cheaper trims; FSD revenue recognised in automotive sales supports ASP.</t>
        </is>
      </c>
    </row>
    <row r="7">
      <c r="A7" t="inlineStr">
        <is>
          <t>asp_other</t>
        </is>
      </c>
      <c r="B7" t="inlineStr">
        <is>
          <t>Automotive volume &amp; price</t>
        </is>
      </c>
      <c r="C7" t="inlineStr">
        <is>
          <t>Other models ASP ($ thousand)</t>
        </is>
      </c>
      <c r="D7" t="inlineStr">
        <is>
          <t>usd_k</t>
        </is>
      </c>
      <c r="E7" t="inlineStr">
        <is>
          <t>judgment</t>
        </is>
      </c>
      <c r="F7" s="7" t="n">
        <v>80</v>
      </c>
      <c r="G7" s="7" t="n">
        <v>65</v>
      </c>
      <c r="H7" s="7" t="n">
        <v>55</v>
      </c>
      <c r="I7" s="7" t="n">
        <v>50</v>
      </c>
      <c r="J7" s="7" t="n">
        <v>47</v>
      </c>
      <c r="K7" t="b">
        <v>0</v>
      </c>
      <c r="L7" t="inlineStr">
        <is>
          <t>Derived history = 2x 3/Y ASP (FY2025 $78k)</t>
        </is>
      </c>
      <c r="M7" t="inlineStr">
        <is>
          <t>Declines as the mix shifts from S/X/Cybertruck (~$80k+) toward Cybercab, which Tesla has said will be priced far below current models; blended value reaches the high-$40ks by 2030.</t>
        </is>
      </c>
    </row>
    <row r="8">
      <c r="A8" t="inlineStr">
        <is>
          <t>reg_credits</t>
        </is>
      </c>
      <c r="B8" t="inlineStr">
        <is>
          <t>Automotive other revenue</t>
        </is>
      </c>
      <c r="C8" t="inlineStr">
        <is>
          <t>Regulatory credit revenue ($M)</t>
        </is>
      </c>
      <c r="D8" t="inlineStr">
        <is>
          <t>usd_m</t>
        </is>
      </c>
      <c r="E8" t="inlineStr">
        <is>
          <t>judgment</t>
        </is>
      </c>
      <c r="F8" s="7" t="n">
        <v>850</v>
      </c>
      <c r="G8" s="7" t="n">
        <v>500</v>
      </c>
      <c r="H8" s="7" t="n">
        <v>350</v>
      </c>
      <c r="I8" s="7" t="n">
        <v>250</v>
      </c>
      <c r="J8" s="7" t="n">
        <v>200</v>
      </c>
      <c r="K8" t="b">
        <v>0</v>
      </c>
      <c r="L8" t="inlineStr">
        <is>
          <t>10-K FY2025 p.37: $1,993M (-28%); 10-Q Q2 2026 p.31: H1 $526M (-49%); OBBBA restricted credit programs</t>
        </is>
      </c>
      <c r="M8" t="inlineStr">
        <is>
          <t>FY2026 ~ H1 run-rate plus a smaller H2; then continued decline as U.S. programs are curtailed (OBBBA) and other OEMs become self-sufficient in credits. High-margin, so the decline hits profit directly.</t>
        </is>
      </c>
    </row>
    <row r="9">
      <c r="A9" t="inlineStr">
        <is>
          <t>auto_leasing_rev</t>
        </is>
      </c>
      <c r="B9" t="inlineStr">
        <is>
          <t>Automotive other revenue</t>
        </is>
      </c>
      <c r="C9" t="inlineStr">
        <is>
          <t>Automotive leasing revenue ($M)</t>
        </is>
      </c>
      <c r="D9" t="inlineStr">
        <is>
          <t>usd_m</t>
        </is>
      </c>
      <c r="E9" t="inlineStr">
        <is>
          <t>judgment</t>
        </is>
      </c>
      <c r="F9" s="7" t="n">
        <v>1450</v>
      </c>
      <c r="G9" s="7" t="n">
        <v>1350</v>
      </c>
      <c r="H9" s="7" t="n">
        <v>1300</v>
      </c>
      <c r="I9" s="7" t="n">
        <v>1300</v>
      </c>
      <c r="J9" s="7" t="n">
        <v>1300</v>
      </c>
      <c r="K9" t="b">
        <v>0</v>
      </c>
      <c r="L9" t="inlineStr">
        <is>
          <t>FY2025 $1,712M; H1 2026 $745M (10-Q p.31)</t>
        </is>
      </c>
      <c r="M9" t="inlineStr">
        <is>
          <t>Only ~1-2% of deliveries are now subject to operating-lease accounting (8-K Ex. 99.1), so the lease book is running off; revenue stabilises around $1.3B.</t>
        </is>
      </c>
    </row>
    <row r="10">
      <c r="A10" t="inlineStr">
        <is>
          <t>services_growth</t>
        </is>
      </c>
      <c r="B10" t="inlineStr">
        <is>
          <t>Services &amp; autonomy</t>
        </is>
      </c>
      <c r="C10" t="inlineStr">
        <is>
          <t>Services &amp; other revenue growth (%)</t>
        </is>
      </c>
      <c r="D10" t="inlineStr">
        <is>
          <t>pct</t>
        </is>
      </c>
      <c r="E10" t="inlineStr">
        <is>
          <t>judgment</t>
        </is>
      </c>
      <c r="F10" s="7" t="n">
        <v>0.35</v>
      </c>
      <c r="G10" s="7" t="n">
        <v>0.2</v>
      </c>
      <c r="H10" s="7" t="n">
        <v>0.18</v>
      </c>
      <c r="I10" s="7" t="n">
        <v>0.16</v>
      </c>
      <c r="J10" s="7" t="n">
        <v>0.14</v>
      </c>
      <c r="K10" t="b">
        <v>0</v>
      </c>
      <c r="L10" t="inlineStr">
        <is>
          <t>FY2025 $12,530M (+19%); H1 2026 +46% YoY (10-Q p.31)</t>
        </is>
      </c>
      <c r="M10" t="inlineStr">
        <is>
          <t>Paid Supercharging, insurance, used vehicles, parts and service scale with Tesla's growing installed fleet. FY2026 reflects the +46% H1 run-rate tapering in H2; growth then fades toward mid-teens.</t>
        </is>
      </c>
    </row>
    <row r="11">
      <c r="A11" t="inlineStr">
        <is>
          <t>autonomy_rev</t>
        </is>
      </c>
      <c r="B11" t="inlineStr">
        <is>
          <t>Services &amp; autonomy</t>
        </is>
      </c>
      <c r="C11" t="inlineStr">
        <is>
          <t>Robotaxi / autonomy network revenue ($M)</t>
        </is>
      </c>
      <c r="D11" t="inlineStr">
        <is>
          <t>usd_m</t>
        </is>
      </c>
      <c r="E11" t="inlineStr">
        <is>
          <t>judgment</t>
        </is>
      </c>
      <c r="F11" s="7" t="n">
        <v>0</v>
      </c>
      <c r="G11" s="7" t="n">
        <v>800</v>
      </c>
      <c r="H11" s="7" t="n">
        <v>2500</v>
      </c>
      <c r="I11" s="7" t="n">
        <v>5000</v>
      </c>
      <c r="J11" s="7" t="n">
        <v>8000</v>
      </c>
      <c r="K11" t="b">
        <v>0</v>
      </c>
      <c r="L11" t="inlineStr">
        <is>
          <t>No separate disclosure. Robotaxi service launched June 2025; Cybercab production began H1 2026 (10-Q p.28-29)</t>
        </is>
      </c>
      <c r="M11" t="inlineStr">
        <is>
          <t>Tesla does not report robotaxi revenue; any current amount sits in services &amp; other. This line is an explicit, isolated judgment for incremental ride-hailing revenue so its value contribution is visible. Base assumes a gradual multi-city ramp; bear assumes no material commercial scale by 2030.</t>
        </is>
      </c>
    </row>
    <row r="12">
      <c r="A12" t="inlineStr">
        <is>
          <t>gm_autonomy</t>
        </is>
      </c>
      <c r="B12" t="inlineStr">
        <is>
          <t>Services &amp; autonomy</t>
        </is>
      </c>
      <c r="C12" t="inlineStr">
        <is>
          <t>Autonomy revenue cash gross margin (%)</t>
        </is>
      </c>
      <c r="D12" t="inlineStr">
        <is>
          <t>pct</t>
        </is>
      </c>
      <c r="E12" t="inlineStr">
        <is>
          <t>judgment</t>
        </is>
      </c>
      <c r="F12" s="7" t="n">
        <v>0.4</v>
      </c>
      <c r="G12" s="7" t="n">
        <v>0.4</v>
      </c>
      <c r="H12" s="7" t="n">
        <v>0.4</v>
      </c>
      <c r="I12" s="7" t="n">
        <v>0.4</v>
      </c>
      <c r="J12" s="7" t="n">
        <v>0.4</v>
      </c>
      <c r="K12" t="b">
        <v>0</v>
      </c>
      <c r="L12" t="inlineStr">
        <is>
          <t>No disclosure</t>
        </is>
      </c>
      <c r="M12" t="inlineStr">
        <is>
          <t>A company-owned fleet carries vehicle depreciation (captured via capex/D&amp;A), energy, cleaning, insurance and remote-operations costs. A 40% cash gross margin is an assumption, not a Tesla figure.</t>
        </is>
      </c>
    </row>
    <row r="13">
      <c r="A13" t="inlineStr">
        <is>
          <t>storage_gwh</t>
        </is>
      </c>
      <c r="B13" t="inlineStr">
        <is>
          <t>Energy</t>
        </is>
      </c>
      <c r="C13" t="inlineStr">
        <is>
          <t>Energy storage deployed (GWh)</t>
        </is>
      </c>
      <c r="D13" t="inlineStr">
        <is>
          <t>gwh</t>
        </is>
      </c>
      <c r="E13" t="inlineStr">
        <is>
          <t>judgment</t>
        </is>
      </c>
      <c r="F13" s="7" t="n">
        <v>50</v>
      </c>
      <c r="G13" s="7" t="n">
        <v>60</v>
      </c>
      <c r="H13" s="7" t="n">
        <v>72</v>
      </c>
      <c r="I13" s="7" t="n">
        <v>84</v>
      </c>
      <c r="J13" s="7" t="n">
        <v>95</v>
      </c>
      <c r="K13" t="b">
        <v>0</v>
      </c>
      <c r="L13" t="inlineStr">
        <is>
          <t>10-K: 14.7 / 31.4 / 46.7 GWh (FY2023-25); 10-Q p.28: H1 2026 22.3 GWh</t>
        </is>
      </c>
      <c r="M13" t="inlineStr">
        <is>
          <t>Lathrop and Shanghai Megafactories are ramping and a Houston Megafactory is under construction (10-Q p.30). Growth slows from the 2023-25 pace as tariffs weigh on the U.S. business.</t>
        </is>
      </c>
    </row>
    <row r="14">
      <c r="A14" t="inlineStr">
        <is>
          <t>energy_rev_per_gwh</t>
        </is>
      </c>
      <c r="B14" t="inlineStr">
        <is>
          <t>Energy</t>
        </is>
      </c>
      <c r="C14" t="inlineStr">
        <is>
          <t>Energy revenue per GWh deployed ($M/GWh)</t>
        </is>
      </c>
      <c r="D14" t="inlineStr">
        <is>
          <t>usd_m_per_gwh</t>
        </is>
      </c>
      <c r="E14" t="inlineStr">
        <is>
          <t>judgment</t>
        </is>
      </c>
      <c r="F14" s="7" t="n">
        <v>245</v>
      </c>
      <c r="G14" s="7" t="n">
        <v>238</v>
      </c>
      <c r="H14" s="7" t="n">
        <v>232</v>
      </c>
      <c r="I14" s="7" t="n">
        <v>226</v>
      </c>
      <c r="J14" s="7" t="n">
        <v>220</v>
      </c>
      <c r="K14" t="b">
        <v>0</v>
      </c>
      <c r="L14" t="inlineStr">
        <is>
          <t>Derived: FY2025 $273M; H1 2026 $249M (includes solar &amp; services)</t>
        </is>
      </c>
      <c r="M14" t="inlineStr">
        <is>
          <t>Megapack ASPs are falling (10-K p.38 cites lower Megapack ASP) as cell costs fall and competition rises; the ratio drifts down ~2-3% per year from the H1 2026 level.</t>
        </is>
      </c>
    </row>
    <row r="15">
      <c r="A15" t="inlineStr">
        <is>
          <t>gm_auto_sales</t>
        </is>
      </c>
      <c r="B15" t="inlineStr">
        <is>
          <t>Margins</t>
        </is>
      </c>
      <c r="C15" t="inlineStr">
        <is>
          <t>Automotive sales cash gross margin, ex-D&amp;A (%)</t>
        </is>
      </c>
      <c r="D15" t="inlineStr">
        <is>
          <t>pct</t>
        </is>
      </c>
      <c r="E15" t="inlineStr">
        <is>
          <t>judgment</t>
        </is>
      </c>
      <c r="F15" s="7" t="n">
        <v>0.21</v>
      </c>
      <c r="G15" s="7" t="n">
        <v>0.21</v>
      </c>
      <c r="H15" s="7" t="n">
        <v>0.215</v>
      </c>
      <c r="I15" s="7" t="n">
        <v>0.22</v>
      </c>
      <c r="J15" s="7" t="n">
        <v>0.22</v>
      </c>
      <c r="K15" t="b">
        <v>0</v>
      </c>
      <c r="L15" t="inlineStr">
        <is>
          <t>Derived from 10-K/10-Q with segment D&amp;A (Note 16): FY2025 19.2%; H1 2026 21.2%; GAAP FY2025 14.5%</t>
        </is>
      </c>
      <c r="M15" t="inlineStr">
        <is>
          <t>Margins are modelled before D&amp;A so capex and depreciation flow through explicitly. Base holds near the H1 2026 level, with modest improvement from cost-down and own-cell/cathode ramps offset by tariffs.</t>
        </is>
      </c>
    </row>
    <row r="16">
      <c r="A16" t="inlineStr">
        <is>
          <t>gm_leasing</t>
        </is>
      </c>
      <c r="B16" t="inlineStr">
        <is>
          <t>Margins</t>
        </is>
      </c>
      <c r="C16" t="inlineStr">
        <is>
          <t>Automotive leasing cash gross margin (%)</t>
        </is>
      </c>
      <c r="D16" t="inlineStr">
        <is>
          <t>pct</t>
        </is>
      </c>
      <c r="E16" t="inlineStr">
        <is>
          <t>history</t>
        </is>
      </c>
      <c r="F16" s="7" t="n">
        <v>0.5</v>
      </c>
      <c r="G16" s="7" t="n">
        <v>0.5</v>
      </c>
      <c r="H16" s="7" t="n">
        <v>0.5</v>
      </c>
      <c r="I16" s="7" t="n">
        <v>0.5</v>
      </c>
      <c r="J16" s="7" t="n">
        <v>0.5</v>
      </c>
      <c r="K16" t="b">
        <v>0</v>
      </c>
      <c r="L16" t="inlineStr">
        <is>
          <t>Derived: FY2025 50.4%; H1 2026 51.3%</t>
        </is>
      </c>
      <c r="M16" t="inlineStr">
        <is>
          <t>Held at the FY2025/H1 2026 level.</t>
        </is>
      </c>
    </row>
    <row r="17">
      <c r="A17" t="inlineStr">
        <is>
          <t>gm_services</t>
        </is>
      </c>
      <c r="B17" t="inlineStr">
        <is>
          <t>Margins</t>
        </is>
      </c>
      <c r="C17" t="inlineStr">
        <is>
          <t>Services &amp; other cash gross margin (%)</t>
        </is>
      </c>
      <c r="D17" t="inlineStr">
        <is>
          <t>pct</t>
        </is>
      </c>
      <c r="E17" t="inlineStr">
        <is>
          <t>judgment</t>
        </is>
      </c>
      <c r="F17" s="7" t="n">
        <v>0.16</v>
      </c>
      <c r="G17" s="7" t="n">
        <v>0.17</v>
      </c>
      <c r="H17" s="7" t="n">
        <v>0.18</v>
      </c>
      <c r="I17" s="7" t="n">
        <v>0.19</v>
      </c>
      <c r="J17" s="7" t="n">
        <v>0.2</v>
      </c>
      <c r="K17" t="b">
        <v>0</v>
      </c>
      <c r="L17" t="inlineStr">
        <is>
          <t>Derived: FY2025 12.5%; H1 2026 16.5%</t>
        </is>
      </c>
      <c r="M17" t="inlineStr">
        <is>
          <t>Operating leverage in Supercharging and service as the fleet grows; H1 2026 already showed a step-up.</t>
        </is>
      </c>
    </row>
    <row r="18">
      <c r="A18" t="inlineStr">
        <is>
          <t>gm_energy</t>
        </is>
      </c>
      <c r="B18" t="inlineStr">
        <is>
          <t>Margins</t>
        </is>
      </c>
      <c r="C18" t="inlineStr">
        <is>
          <t>Energy cash gross margin, ex-D&amp;A (%)</t>
        </is>
      </c>
      <c r="D18" t="inlineStr">
        <is>
          <t>pct</t>
        </is>
      </c>
      <c r="E18" t="inlineStr">
        <is>
          <t>judgment</t>
        </is>
      </c>
      <c r="F18" s="7" t="n">
        <v>0.29</v>
      </c>
      <c r="G18" s="7" t="n">
        <v>0.3</v>
      </c>
      <c r="H18" s="7" t="n">
        <v>0.3</v>
      </c>
      <c r="I18" s="7" t="n">
        <v>0.3</v>
      </c>
      <c r="J18" s="7" t="n">
        <v>0.3</v>
      </c>
      <c r="K18" t="b">
        <v>0</v>
      </c>
      <c r="L18" t="inlineStr">
        <is>
          <t>Derived: FY2025 32.6%; H1 2026 32.2% (GAAP Q2 2026 fell to 20.4% on tariffs, 10-Q p.32)</t>
        </is>
      </c>
      <c r="M18" t="inlineStr">
        <is>
          <t>Below the FY2025 level because the 10-Q flags tariffs weighing more heavily on energy than autos; partially offset by manufacturing credits and Shanghai Megafactory scale.</t>
        </is>
      </c>
    </row>
    <row r="19">
      <c r="A19" t="inlineStr">
        <is>
          <t>rd_pct</t>
        </is>
      </c>
      <c r="B19" t="inlineStr">
        <is>
          <t>Operating expenses</t>
        </is>
      </c>
      <c r="C19" t="inlineStr">
        <is>
          <t>R&amp;D ex-D&amp;A (% of revenue)</t>
        </is>
      </c>
      <c r="D19" t="inlineStr">
        <is>
          <t>pct</t>
        </is>
      </c>
      <c r="E19" t="inlineStr">
        <is>
          <t>judgment</t>
        </is>
      </c>
      <c r="F19" s="7" t="n">
        <v>0.074</v>
      </c>
      <c r="G19" s="7" t="n">
        <v>0.07199999999999999</v>
      </c>
      <c r="H19" s="7" t="n">
        <v>0.07000000000000001</v>
      </c>
      <c r="I19" s="7" t="n">
        <v>0.068</v>
      </c>
      <c r="J19" s="7" t="n">
        <v>0.066</v>
      </c>
      <c r="K19" t="b">
        <v>0</v>
      </c>
      <c r="L19" t="inlineStr">
        <is>
          <t>Derived: FY2025 5.6%; H1 2026 7.4%</t>
        </is>
      </c>
      <c r="M19" t="inlineStr">
        <is>
          <t>AI training, Optimus and Cybercab keep R&amp;D elevated at the H1 2026 intensity, easing slightly as revenue grows. Bear keeps the base ratios (management trims spend as growth stalls); recession shows a temporary spike as revenue falls faster than costs.</t>
        </is>
      </c>
    </row>
    <row r="20">
      <c r="A20" t="inlineStr">
        <is>
          <t>sga_pct</t>
        </is>
      </c>
      <c r="B20" t="inlineStr">
        <is>
          <t>Operating expenses</t>
        </is>
      </c>
      <c r="C20" t="inlineStr">
        <is>
          <t>SG&amp;A ex-D&amp;A (% of revenue)</t>
        </is>
      </c>
      <c r="D20" t="inlineStr">
        <is>
          <t>pct</t>
        </is>
      </c>
      <c r="E20" t="inlineStr">
        <is>
          <t>judgment</t>
        </is>
      </c>
      <c r="F20" s="7" t="n">
        <v>0.064</v>
      </c>
      <c r="G20" s="7" t="n">
        <v>0.062</v>
      </c>
      <c r="H20" s="7" t="n">
        <v>0.06</v>
      </c>
      <c r="I20" s="7" t="n">
        <v>0.058</v>
      </c>
      <c r="J20" s="7" t="n">
        <v>0.056</v>
      </c>
      <c r="K20" t="b">
        <v>0</v>
      </c>
      <c r="L20" t="inlineStr">
        <is>
          <t>Derived: FY2025 5.1%; H1 2026 6.5% (includes 2025 CEO award SBC, 10-Q p.33)</t>
        </is>
      </c>
      <c r="M20" t="inlineStr">
        <is>
          <t>Held near the H1 2026 ratio, which includes ~$1.1B/yr of 2025 CEO Performance Award expense; modest leverage thereafter. Bear keeps the base ratios; recession shows a temporary spike as revenue falls faster than costs.</t>
        </is>
      </c>
    </row>
    <row r="21">
      <c r="A21" t="inlineStr">
        <is>
          <t>sbc_pct</t>
        </is>
      </c>
      <c r="B21" t="inlineStr">
        <is>
          <t>Operating expenses</t>
        </is>
      </c>
      <c r="C21" t="inlineStr">
        <is>
          <t>Stock-based compensation (% of revenue, non-cash, within costs)</t>
        </is>
      </c>
      <c r="D21" t="inlineStr">
        <is>
          <t>pct</t>
        </is>
      </c>
      <c r="E21" t="inlineStr">
        <is>
          <t>judgment</t>
        </is>
      </c>
      <c r="F21" s="7" t="n">
        <v>0.042</v>
      </c>
      <c r="G21" s="7" t="n">
        <v>0.04</v>
      </c>
      <c r="H21" s="7" t="n">
        <v>0.038</v>
      </c>
      <c r="I21" s="7" t="n">
        <v>0.036</v>
      </c>
      <c r="J21" s="7" t="n">
        <v>0.034</v>
      </c>
      <c r="K21" t="b">
        <v>0</v>
      </c>
      <c r="L21" t="inlineStr">
        <is>
          <t>CF statement: FY2025 3.0%; H1 2026 4.3%; $9.82B unrecognised CEO award cost over 9.2 yrs (10-Q p.21)</t>
        </is>
      </c>
      <c r="M21" t="inlineStr">
        <is>
          <t>SBC is already inside the cost ratios above; this line only sizes the non-cash add-back and APIC build. Declines as a share of revenue while CEO award expense stays roughly flat in dollars.</t>
        </is>
      </c>
    </row>
    <row r="22">
      <c r="A22" t="inlineStr">
        <is>
          <t>da_rate</t>
        </is>
      </c>
      <c r="B22" t="inlineStr">
        <is>
          <t>D&amp;A &amp; capex</t>
        </is>
      </c>
      <c r="C22" t="inlineStr">
        <is>
          <t>D&amp;A (% of beginning net fixed assets)</t>
        </is>
      </c>
      <c r="D22" t="inlineStr">
        <is>
          <t>pct</t>
        </is>
      </c>
      <c r="E22" t="inlineStr">
        <is>
          <t>history</t>
        </is>
      </c>
      <c r="F22" s="7" t="n">
        <v>0.13</v>
      </c>
      <c r="G22" s="7" t="n">
        <v>0.13</v>
      </c>
      <c r="H22" s="7" t="n">
        <v>0.13</v>
      </c>
      <c r="I22" s="7" t="n">
        <v>0.13</v>
      </c>
      <c r="J22" s="7" t="n">
        <v>0.13</v>
      </c>
      <c r="K22" t="b">
        <v>0</v>
      </c>
      <c r="L22" t="inlineStr">
        <is>
          <t>Derived: FY2024 13.1%; FY2025 13.3%; H1 2026 ann. 12.8%</t>
        </is>
      </c>
      <c r="M22" t="inlineStr">
        <is>
          <t>Held at the three-period average. Net fixed assets = PP&amp;E + operating-lease vehicles + energy systems.</t>
        </is>
      </c>
    </row>
    <row r="23">
      <c r="A23" t="inlineStr">
        <is>
          <t>da_cogs_share</t>
        </is>
      </c>
      <c r="B23" t="inlineStr">
        <is>
          <t>D&amp;A &amp; capex</t>
        </is>
      </c>
      <c r="C23" t="inlineStr">
        <is>
          <t>Share of D&amp;A recorded in cost of revenues (%)</t>
        </is>
      </c>
      <c r="D23" t="inlineStr">
        <is>
          <t>pct</t>
        </is>
      </c>
      <c r="E23" t="inlineStr">
        <is>
          <t>history</t>
        </is>
      </c>
      <c r="F23" s="7" t="n">
        <v>0.67</v>
      </c>
      <c r="G23" s="7" t="n">
        <v>0.67</v>
      </c>
      <c r="H23" s="7" t="n">
        <v>0.67</v>
      </c>
      <c r="I23" s="7" t="n">
        <v>0.67</v>
      </c>
      <c r="J23" s="7" t="n">
        <v>0.67</v>
      </c>
      <c r="K23" t="b">
        <v>0</v>
      </c>
      <c r="L23" t="inlineStr">
        <is>
          <t>Segment note D&amp;A in COGS / total D&amp;A: FY2025 67%; H1 2026 66%</t>
        </is>
      </c>
      <c r="M23" t="inlineStr">
        <is>
          <t>Presentation only (splits D&amp;A between gross profit and opex); no effect on EBIT or cash flow.</t>
        </is>
      </c>
    </row>
    <row r="24">
      <c r="A24" t="inlineStr">
        <is>
          <t>capex</t>
        </is>
      </c>
      <c r="B24" t="inlineStr">
        <is>
          <t>D&amp;A &amp; capex</t>
        </is>
      </c>
      <c r="C24" t="inlineStr">
        <is>
          <t>Capital expenditures ($M)</t>
        </is>
      </c>
      <c r="D24" t="inlineStr">
        <is>
          <t>usd_m</t>
        </is>
      </c>
      <c r="E24" t="inlineStr">
        <is>
          <t>guidance</t>
        </is>
      </c>
      <c r="F24" s="7" t="n">
        <v>25000</v>
      </c>
      <c r="G24" s="7" t="n">
        <v>22000</v>
      </c>
      <c r="H24" s="7" t="n">
        <v>18000</v>
      </c>
      <c r="I24" s="7" t="n">
        <v>16000</v>
      </c>
      <c r="J24" s="7" t="n">
        <v>15000</v>
      </c>
      <c r="K24" t="b">
        <v>0</v>
      </c>
      <c r="L24" t="inlineStr">
        <is>
          <t>10-Q Q2 2026 p.35: 2026 capex 'in excess of $25 billion'; H1 2026 actual $8,282M</t>
        </is>
      </c>
      <c r="M24" t="inlineStr">
        <is>
          <t>FY2026 = guidance floor. 2027-30 are judgment: AI compute, Cybercab/Optimus lines and cell factories keep spend elevated before easing toward ~1.2x D&amp;A. Bear and recession cases assume Tesla slows projects as cash generation weakens, which the 10-Q (Liquidity section) says it can do; without that cut the bear case breaches the minimum-cash rule even with the revolver fully drawn.</t>
        </is>
      </c>
    </row>
    <row r="25">
      <c r="A25" t="inlineStr">
        <is>
          <t>strategic_investment</t>
        </is>
      </c>
      <c r="B25" t="inlineStr">
        <is>
          <t>D&amp;A &amp; capex</t>
        </is>
      </c>
      <c r="C25" t="inlineStr">
        <is>
          <t>Strategic equity investments ($M, non-operating)</t>
        </is>
      </c>
      <c r="D25" t="inlineStr">
        <is>
          <t>usd_m</t>
        </is>
      </c>
      <c r="E25" t="inlineStr">
        <is>
          <t>history</t>
        </is>
      </c>
      <c r="F25" s="7" t="n">
        <v>2002</v>
      </c>
      <c r="G25" s="7" t="n">
        <v>0</v>
      </c>
      <c r="H25" s="7" t="n">
        <v>0</v>
      </c>
      <c r="I25" s="7" t="n">
        <v>0</v>
      </c>
      <c r="J25" s="7" t="n">
        <v>0</v>
      </c>
      <c r="K25" t="b">
        <v>0</v>
      </c>
      <c r="L25" t="inlineStr">
        <is>
          <t>10-Q CF p.8-9: purchase of SpaceX equity investment $2,002M in H1 2026</t>
        </is>
      </c>
      <c r="M25" t="inlineStr">
        <is>
          <t>H1 2026 actual; no further investments assumed. Excluded from FCFE and valued separately at carrying value.</t>
        </is>
      </c>
    </row>
    <row r="26">
      <c r="A26" t="inlineStr">
        <is>
          <t>dso</t>
        </is>
      </c>
      <c r="B26" t="inlineStr">
        <is>
          <t>Working capital</t>
        </is>
      </c>
      <c r="C26" t="inlineStr">
        <is>
          <t>Receivable days (DSO, on revenue)</t>
        </is>
      </c>
      <c r="D26" t="inlineStr">
        <is>
          <t>days</t>
        </is>
      </c>
      <c r="E26" t="inlineStr">
        <is>
          <t>history</t>
        </is>
      </c>
      <c r="F26" s="7" t="n">
        <v>17.6</v>
      </c>
      <c r="G26" s="7" t="n">
        <v>17.6</v>
      </c>
      <c r="H26" s="7" t="n">
        <v>17.6</v>
      </c>
      <c r="I26" s="7" t="n">
        <v>17.6</v>
      </c>
      <c r="J26" s="7" t="n">
        <v>17.6</v>
      </c>
      <c r="K26" t="b">
        <v>0</v>
      </c>
      <c r="L26" t="inlineStr">
        <is>
          <t>Derived: FY2023 13.2; FY2024 16.5; FY2025 17.6</t>
        </is>
      </c>
      <c r="M26" t="inlineStr">
        <is>
          <t>Held at the FY2025 level.</t>
        </is>
      </c>
    </row>
    <row r="27">
      <c r="A27" t="inlineStr">
        <is>
          <t>dio</t>
        </is>
      </c>
      <c r="B27" t="inlineStr">
        <is>
          <t>Working capital</t>
        </is>
      </c>
      <c r="C27" t="inlineStr">
        <is>
          <t>Inventory days (DIO, on cost of revenues)</t>
        </is>
      </c>
      <c r="D27" t="inlineStr">
        <is>
          <t>days</t>
        </is>
      </c>
      <c r="E27" t="inlineStr">
        <is>
          <t>history</t>
        </is>
      </c>
      <c r="F27" s="7" t="n">
        <v>58.2</v>
      </c>
      <c r="G27" s="7" t="n">
        <v>58.2</v>
      </c>
      <c r="H27" s="7" t="n">
        <v>58.2</v>
      </c>
      <c r="I27" s="7" t="n">
        <v>58.2</v>
      </c>
      <c r="J27" s="7" t="n">
        <v>58.2</v>
      </c>
      <c r="K27" t="b">
        <v>0</v>
      </c>
      <c r="L27" t="inlineStr">
        <is>
          <t>Derived: FY2023 62.9; FY2024 54.7; FY2025 58.2</t>
        </is>
      </c>
      <c r="M27" t="inlineStr">
        <is>
          <t>Held at the FY2025 level; recession case assumes an inventory build.</t>
        </is>
      </c>
    </row>
    <row r="28">
      <c r="A28" t="inlineStr">
        <is>
          <t>dpo</t>
        </is>
      </c>
      <c r="B28" t="inlineStr">
        <is>
          <t>Working capital</t>
        </is>
      </c>
      <c r="C28" t="inlineStr">
        <is>
          <t>Payable days (DPO, on cost of revenues)</t>
        </is>
      </c>
      <c r="D28" t="inlineStr">
        <is>
          <t>days</t>
        </is>
      </c>
      <c r="E28" t="inlineStr">
        <is>
          <t>history</t>
        </is>
      </c>
      <c r="F28" s="7" t="n">
        <v>62.8</v>
      </c>
      <c r="G28" s="7" t="n">
        <v>62.8</v>
      </c>
      <c r="H28" s="7" t="n">
        <v>62.8</v>
      </c>
      <c r="I28" s="7" t="n">
        <v>62.8</v>
      </c>
      <c r="J28" s="7" t="n">
        <v>62.8</v>
      </c>
      <c r="K28" t="b">
        <v>0</v>
      </c>
      <c r="L28" t="inlineStr">
        <is>
          <t>Derived: FY2023 66.6; FY2024 56.7; FY2025 62.8</t>
        </is>
      </c>
      <c r="M28" t="inlineStr">
        <is>
          <t>Held at the FY2025 level.</t>
        </is>
      </c>
    </row>
    <row r="29">
      <c r="A29" t="inlineStr">
        <is>
          <t>prepaid_pct</t>
        </is>
      </c>
      <c r="B29" t="inlineStr">
        <is>
          <t>Working capital</t>
        </is>
      </c>
      <c r="C29" t="inlineStr">
        <is>
          <t>Prepaid &amp; other current assets (% revenue)</t>
        </is>
      </c>
      <c r="D29" t="inlineStr">
        <is>
          <t>pct</t>
        </is>
      </c>
      <c r="E29" t="inlineStr">
        <is>
          <t>history</t>
        </is>
      </c>
      <c r="F29" s="7" t="n">
        <v>0.0803</v>
      </c>
      <c r="G29" s="7" t="n">
        <v>0.0803</v>
      </c>
      <c r="H29" s="7" t="n">
        <v>0.0803</v>
      </c>
      <c r="I29" s="7" t="n">
        <v>0.0803</v>
      </c>
      <c r="J29" s="7" t="n">
        <v>0.0803</v>
      </c>
      <c r="K29" t="b">
        <v>0</v>
      </c>
      <c r="L29" t="inlineStr">
        <is>
          <t>Derived: FY2024 5.5%; FY2025 8.0%</t>
        </is>
      </c>
      <c r="M29" t="inlineStr">
        <is>
          <t>Held at the FY2025 level.</t>
        </is>
      </c>
    </row>
    <row r="30">
      <c r="A30" t="inlineStr">
        <is>
          <t>accrued_pct</t>
        </is>
      </c>
      <c r="B30" t="inlineStr">
        <is>
          <t>Working capital</t>
        </is>
      </c>
      <c r="C30" t="inlineStr">
        <is>
          <t>Accrued &amp; other liabilities ex-leases (% revenue)</t>
        </is>
      </c>
      <c r="D30" t="inlineStr">
        <is>
          <t>pct</t>
        </is>
      </c>
      <c r="E30" t="inlineStr">
        <is>
          <t>history</t>
        </is>
      </c>
      <c r="F30" s="7" t="n">
        <v>0.2088</v>
      </c>
      <c r="G30" s="7" t="n">
        <v>0.2088</v>
      </c>
      <c r="H30" s="7" t="n">
        <v>0.2088</v>
      </c>
      <c r="I30" s="7" t="n">
        <v>0.2088</v>
      </c>
      <c r="J30" s="7" t="n">
        <v>0.2088</v>
      </c>
      <c r="K30" t="b">
        <v>0</v>
      </c>
      <c r="L30" t="inlineStr">
        <is>
          <t>Derived (current accrued + other LT liabilities - operating lease liabilities): FY2024 16.2%; FY2025 20.9%</t>
        </is>
      </c>
      <c r="M30" t="inlineStr">
        <is>
          <t>Held at the FY2025 level (warranty reserves, taxes, capex payables).</t>
        </is>
      </c>
    </row>
    <row r="31">
      <c r="A31" t="inlineStr">
        <is>
          <t>deferred_rev_pct</t>
        </is>
      </c>
      <c r="B31" t="inlineStr">
        <is>
          <t>Working capital</t>
        </is>
      </c>
      <c r="C31" t="inlineStr">
        <is>
          <t>Deferred revenue, current + non-current (% revenue)</t>
        </is>
      </c>
      <c r="D31" t="inlineStr">
        <is>
          <t>pct</t>
        </is>
      </c>
      <c r="E31" t="inlineStr">
        <is>
          <t>history</t>
        </is>
      </c>
      <c r="F31" s="7" t="n">
        <v>0.07439999999999999</v>
      </c>
      <c r="G31" s="7" t="n">
        <v>0.07439999999999999</v>
      </c>
      <c r="H31" s="7" t="n">
        <v>0.07439999999999999</v>
      </c>
      <c r="I31" s="7" t="n">
        <v>0.07439999999999999</v>
      </c>
      <c r="J31" s="7" t="n">
        <v>0.07439999999999999</v>
      </c>
      <c r="K31" t="b">
        <v>0</v>
      </c>
      <c r="L31" t="inlineStr">
        <is>
          <t>Derived: FY2024 6.6%; FY2025 7.4%</t>
        </is>
      </c>
      <c r="M31" t="inlineStr">
        <is>
          <t>Held at the FY2025 level (FSD, connectivity, Supercharging and energy contracts).</t>
        </is>
      </c>
    </row>
    <row r="32">
      <c r="A32" t="inlineStr">
        <is>
          <t>debt_issued</t>
        </is>
      </c>
      <c r="B32" t="inlineStr">
        <is>
          <t>Financing &amp; capital structure</t>
        </is>
      </c>
      <c r="C32" t="inlineStr">
        <is>
          <t>New debt issuance ($M)</t>
        </is>
      </c>
      <c r="D32" t="inlineStr">
        <is>
          <t>usd_m</t>
        </is>
      </c>
      <c r="E32" t="inlineStr">
        <is>
          <t>judgment</t>
        </is>
      </c>
      <c r="F32" s="7" t="n">
        <v>6000</v>
      </c>
      <c r="G32" s="7" t="n">
        <v>3000</v>
      </c>
      <c r="H32" s="7" t="n">
        <v>3000</v>
      </c>
      <c r="I32" s="7" t="n">
        <v>3000</v>
      </c>
      <c r="J32" s="7" t="n">
        <v>3000</v>
      </c>
      <c r="K32" t="b">
        <v>0</v>
      </c>
      <c r="L32" t="inlineStr">
        <is>
          <t>CF history: $3.9B / $5.7B / $5.6B (FY2023-25); H1 2026 $4.7B (10-Q CF)</t>
        </is>
      </c>
      <c r="M32" t="inlineStr">
        <is>
          <t>Tesla's debt is mostly non-recourse auto/energy ABS that is refinanced continuously. FY2026 = H1 actual plus a smaller H2; later years roughly refinance scheduled maturities.</t>
        </is>
      </c>
    </row>
    <row r="33">
      <c r="A33" t="inlineStr">
        <is>
          <t>debt_repaid</t>
        </is>
      </c>
      <c r="B33" t="inlineStr">
        <is>
          <t>Financing &amp; capital structure</t>
        </is>
      </c>
      <c r="C33" t="inlineStr">
        <is>
          <t>Debt repayments ($M)</t>
        </is>
      </c>
      <c r="D33" t="inlineStr">
        <is>
          <t>usd_m</t>
        </is>
      </c>
      <c r="E33" t="inlineStr">
        <is>
          <t>judgment</t>
        </is>
      </c>
      <c r="F33" s="7" t="n">
        <v>5000</v>
      </c>
      <c r="G33" s="7" t="n">
        <v>3000</v>
      </c>
      <c r="H33" s="7" t="n">
        <v>2500</v>
      </c>
      <c r="I33" s="7" t="n">
        <v>5500</v>
      </c>
      <c r="J33" s="7" t="n">
        <v>2500</v>
      </c>
      <c r="K33" t="b">
        <v>0</v>
      </c>
      <c r="L33" t="inlineStr">
        <is>
          <t>10-K Note 9 p.75 scheduled maturities: 2026 $1,576M, 2027 $1,233M, 2028 $649M, 2029 $4,386M, 2030 $89M, thereafter $244M; H1 2026 repaid $3.9B</t>
        </is>
      </c>
      <c r="M33" t="inlineStr">
        <is>
          <t>FY2026 = H1 actual plus H2 scheduled amortisation; later years = scheduled maturities (incl. the 2029 bullet) plus ABS amortisation of new issuance.</t>
        </is>
      </c>
    </row>
    <row r="34">
      <c r="A34" t="inlineStr">
        <is>
          <t>fl_additions</t>
        </is>
      </c>
      <c r="B34" t="inlineStr">
        <is>
          <t>Financing &amp; capital structure</t>
        </is>
      </c>
      <c r="C34" t="inlineStr">
        <is>
          <t>New finance leases ($M, non-cash)</t>
        </is>
      </c>
      <c r="D34" t="inlineStr">
        <is>
          <t>usd_m</t>
        </is>
      </c>
      <c r="E34" t="inlineStr">
        <is>
          <t>judgment</t>
        </is>
      </c>
      <c r="F34" s="7" t="n">
        <v>140</v>
      </c>
      <c r="G34" s="7" t="n">
        <v>80</v>
      </c>
      <c r="H34" s="7" t="n">
        <v>80</v>
      </c>
      <c r="I34" s="7" t="n">
        <v>80</v>
      </c>
      <c r="J34" s="7" t="n">
        <v>80</v>
      </c>
      <c r="K34" t="b">
        <v>0</v>
      </c>
      <c r="L34" t="inlineStr">
        <is>
          <t>Finance lease liability $223M (FY2025) -&gt; $281M (Q2 2026)</t>
        </is>
      </c>
      <c r="M34" t="inlineStr">
        <is>
          <t>Small; set so the finance-lease balance stays roughly stable.</t>
        </is>
      </c>
    </row>
    <row r="35">
      <c r="A35" t="inlineStr">
        <is>
          <t>fl_principal</t>
        </is>
      </c>
      <c r="B35" t="inlineStr">
        <is>
          <t>Financing &amp; capital structure</t>
        </is>
      </c>
      <c r="C35" t="inlineStr">
        <is>
          <t>Finance lease principal payments ($M)</t>
        </is>
      </c>
      <c r="D35" t="inlineStr">
        <is>
          <t>usd_m</t>
        </is>
      </c>
      <c r="E35" t="inlineStr">
        <is>
          <t>history</t>
        </is>
      </c>
      <c r="F35" s="7" t="n">
        <v>80</v>
      </c>
      <c r="G35" s="7" t="n">
        <v>80</v>
      </c>
      <c r="H35" s="7" t="n">
        <v>80</v>
      </c>
      <c r="I35" s="7" t="n">
        <v>80</v>
      </c>
      <c r="J35" s="7" t="n">
        <v>80</v>
      </c>
      <c r="K35" t="b">
        <v>0</v>
      </c>
      <c r="L35" t="inlineStr">
        <is>
          <t>10-K Note 10 finance-lease maturity table: 2026 $80M, 2027 $72M, 2028 $27M, 2029 $22M, 2030 $22M, thereafter $23M</t>
        </is>
      </c>
      <c r="M35" t="inlineStr">
        <is>
          <t>Contractual schedule plus run-off of new leases.</t>
        </is>
      </c>
    </row>
    <row r="36">
      <c r="A36" t="inlineStr">
        <is>
          <t>op_lease_growth</t>
        </is>
      </c>
      <c r="B36" t="inlineStr">
        <is>
          <t>Financing &amp; capital structure</t>
        </is>
      </c>
      <c r="C36" t="inlineStr">
        <is>
          <t>Operating lease liability growth (%, non-cash)</t>
        </is>
      </c>
      <c r="D36" t="inlineStr">
        <is>
          <t>pct</t>
        </is>
      </c>
      <c r="E36" t="inlineStr">
        <is>
          <t>judgment</t>
        </is>
      </c>
      <c r="F36" s="7" t="n">
        <v>0.08</v>
      </c>
      <c r="G36" s="7" t="n">
        <v>0.08</v>
      </c>
      <c r="H36" s="7" t="n">
        <v>0.08</v>
      </c>
      <c r="I36" s="7" t="n">
        <v>0.08</v>
      </c>
      <c r="J36" s="7" t="n">
        <v>0.08</v>
      </c>
      <c r="K36" t="b">
        <v>0</v>
      </c>
      <c r="L36" t="inlineStr">
        <is>
          <t>Operating lease liabilities $5,410M -&gt; $6,343M -&gt; $6,738M (FY2024, FY2025, Q2 2026)</t>
        </is>
      </c>
      <c r="M36" t="inlineStr">
        <is>
          <t>Store, service and Supercharger footprint growth; the ROU asset moves one-for-one, so no cash or equity effect.</t>
        </is>
      </c>
    </row>
    <row r="37">
      <c r="A37" t="inlineStr">
        <is>
          <t>interest_rate_debt</t>
        </is>
      </c>
      <c r="B37" t="inlineStr">
        <is>
          <t>Financing &amp; capital structure</t>
        </is>
      </c>
      <c r="C37" t="inlineStr">
        <is>
          <t>Interest rate on debt &amp; finance leases (% of beginning balance)</t>
        </is>
      </c>
      <c r="D37" t="inlineStr">
        <is>
          <t>pct</t>
        </is>
      </c>
      <c r="E37" t="inlineStr">
        <is>
          <t>history</t>
        </is>
      </c>
      <c r="F37" s="7" t="n">
        <v>0.041</v>
      </c>
      <c r="G37" s="7" t="n">
        <v>0.041</v>
      </c>
      <c r="H37" s="7" t="n">
        <v>0.041</v>
      </c>
      <c r="I37" s="7" t="n">
        <v>0.041</v>
      </c>
      <c r="J37" s="7" t="n">
        <v>0.041</v>
      </c>
      <c r="K37" t="b">
        <v>0</v>
      </c>
      <c r="L37" t="inlineStr">
        <is>
          <t>FY2025 interest expense $338M / average debt &amp; finance leases ~$8.3B = 4.1%</t>
        </is>
      </c>
      <c r="M37" t="inlineStr">
        <is>
          <t>Held at FY2025 effective rate; applied to beginning balances to avoid circularity.</t>
        </is>
      </c>
    </row>
    <row r="38">
      <c r="A38" t="inlineStr">
        <is>
          <t>interest_yield_cash</t>
        </is>
      </c>
      <c r="B38" t="inlineStr">
        <is>
          <t>Financing &amp; capital structure</t>
        </is>
      </c>
      <c r="C38" t="inlineStr">
        <is>
          <t>Interest yield on cash &amp; investments (% of beginning balance)</t>
        </is>
      </c>
      <c r="D38" t="inlineStr">
        <is>
          <t>pct</t>
        </is>
      </c>
      <c r="E38" t="inlineStr">
        <is>
          <t>history</t>
        </is>
      </c>
      <c r="F38" s="7" t="n">
        <v>0.0391</v>
      </c>
      <c r="G38" s="7" t="n">
        <v>0.0391</v>
      </c>
      <c r="H38" s="7" t="n">
        <v>0.0391</v>
      </c>
      <c r="I38" s="7" t="n">
        <v>0.0391</v>
      </c>
      <c r="J38" s="7" t="n">
        <v>0.0391</v>
      </c>
      <c r="K38" t="b">
        <v>0</v>
      </c>
      <c r="L38" t="inlineStr">
        <is>
          <t>Derived: FY2025 4.17%; H1 2026 ann. 3.91%</t>
        </is>
      </c>
      <c r="M38" t="inlineStr">
        <is>
          <t>Held at the H1 2026 annualised yield. Excluded from valuation FCFE (cash is valued separately).</t>
        </is>
      </c>
    </row>
    <row r="39">
      <c r="A39" t="inlineStr">
        <is>
          <t>option_proceeds</t>
        </is>
      </c>
      <c r="B39" t="inlineStr">
        <is>
          <t>Financing &amp; capital structure</t>
        </is>
      </c>
      <c r="C39" t="inlineStr">
        <is>
          <t>Proceeds from option exercises / ESPP ($M)</t>
        </is>
      </c>
      <c r="D39" t="inlineStr">
        <is>
          <t>usd_m</t>
        </is>
      </c>
      <c r="E39" t="inlineStr">
        <is>
          <t>history</t>
        </is>
      </c>
      <c r="F39" s="7" t="n">
        <v>900</v>
      </c>
      <c r="G39" s="7" t="n">
        <v>900</v>
      </c>
      <c r="H39" s="7" t="n">
        <v>900</v>
      </c>
      <c r="I39" s="7" t="n">
        <v>900</v>
      </c>
      <c r="J39" s="7" t="n">
        <v>900</v>
      </c>
      <c r="K39" t="b">
        <v>0</v>
      </c>
      <c r="L39" t="inlineStr">
        <is>
          <t>CF history: $700M / $1,241M / $1,186M (FY2023-25); H1 2026 $468M</t>
        </is>
      </c>
      <c r="M39" t="inlineStr">
        <is>
          <t>Approximately the three-year average.</t>
        </is>
      </c>
    </row>
    <row r="40">
      <c r="A40" t="inlineStr">
        <is>
          <t>share_issuance_pct</t>
        </is>
      </c>
      <c r="B40" t="inlineStr">
        <is>
          <t>Financing &amp; capital structure</t>
        </is>
      </c>
      <c r="C40" t="inlineStr">
        <is>
          <t>Gross share issuance from equity plans (% of beginning diluted shares)</t>
        </is>
      </c>
      <c r="D40" t="inlineStr">
        <is>
          <t>pct</t>
        </is>
      </c>
      <c r="E40" t="inlineStr">
        <is>
          <t>history</t>
        </is>
      </c>
      <c r="F40" s="7" t="n">
        <v>0.006</v>
      </c>
      <c r="G40" s="7" t="n">
        <v>0.006</v>
      </c>
      <c r="H40" s="7" t="n">
        <v>0.006</v>
      </c>
      <c r="I40" s="7" t="n">
        <v>0.006</v>
      </c>
      <c r="J40" s="7" t="n">
        <v>0.006</v>
      </c>
      <c r="K40" t="b">
        <v>0</v>
      </c>
      <c r="L40" t="inlineStr">
        <is>
          <t>Diluted weighted shares 3,485M -&gt; 3,498M -&gt; 3,528M -&gt; 3,540M (FY2023 to Q2 2026)</t>
        </is>
      </c>
      <c r="M40" t="inlineStr">
        <is>
          <t>Average historical net dilution of ~0.6%/yr.</t>
        </is>
      </c>
    </row>
    <row r="41">
      <c r="A41" t="inlineStr">
        <is>
          <t>buybacks</t>
        </is>
      </c>
      <c r="B41" t="inlineStr">
        <is>
          <t>Financing &amp; capital structure</t>
        </is>
      </c>
      <c r="C41" t="inlineStr">
        <is>
          <t>Share repurchases ($M)</t>
        </is>
      </c>
      <c r="D41" t="inlineStr">
        <is>
          <t>usd_m</t>
        </is>
      </c>
      <c r="E41" t="inlineStr">
        <is>
          <t>history</t>
        </is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t="b">
        <v>0</v>
      </c>
      <c r="L41" t="inlineStr">
        <is>
          <t>No repurchases in FY2023-FY2025 or H1 2026 cash-flow statements</t>
        </is>
      </c>
      <c r="M41" t="inlineStr">
        <is>
          <t>No authorised programme is disclosed; kept at zero. Editable to test a buyback policy.</t>
        </is>
      </c>
    </row>
    <row r="42">
      <c r="A42" t="inlineStr">
        <is>
          <t>min_cash_pct</t>
        </is>
      </c>
      <c r="B42" t="inlineStr">
        <is>
          <t>Financing &amp; capital structure</t>
        </is>
      </c>
      <c r="C42" t="inlineStr">
        <is>
          <t>Minimum cash &amp; investments (% of revenue)</t>
        </is>
      </c>
      <c r="D42" t="inlineStr">
        <is>
          <t>pct</t>
        </is>
      </c>
      <c r="E42" t="inlineStr">
        <is>
          <t>judgment</t>
        </is>
      </c>
      <c r="F42" s="7" t="n">
        <v>0.15</v>
      </c>
      <c r="G42" s="7" t="n">
        <v>0.15</v>
      </c>
      <c r="H42" s="7" t="n">
        <v>0.15</v>
      </c>
      <c r="I42" s="7" t="n">
        <v>0.15</v>
      </c>
      <c r="J42" s="7" t="n">
        <v>0.15</v>
      </c>
      <c r="K42" t="b">
        <v>0</v>
      </c>
      <c r="L42" t="inlineStr">
        <is>
          <t>Tesla does not state a minimum; it held $43.5B (86% of H1 2026 annualised revenue) at 2026-06-30</t>
        </is>
      </c>
      <c r="M42" t="inlineStr">
        <is>
          <t>About two months of costs is a prudent operating buffer for a capital-intensive manufacturer. Cash above this level is treated as excess (non-operating) in the valuation.</t>
        </is>
      </c>
    </row>
    <row r="43">
      <c r="A43" t="inlineStr">
        <is>
          <t>nci_income</t>
        </is>
      </c>
      <c r="B43" t="inlineStr">
        <is>
          <t>Tax &amp; other</t>
        </is>
      </c>
      <c r="C43" t="inlineStr">
        <is>
          <t>Net income attributable to NCI ($M)</t>
        </is>
      </c>
      <c r="D43" t="inlineStr">
        <is>
          <t>usd_m</t>
        </is>
      </c>
      <c r="E43" t="inlineStr">
        <is>
          <t>history</t>
        </is>
      </c>
      <c r="F43" s="7" t="n">
        <v>60</v>
      </c>
      <c r="G43" s="7" t="n">
        <v>60</v>
      </c>
      <c r="H43" s="7" t="n">
        <v>60</v>
      </c>
      <c r="I43" s="7" t="n">
        <v>60</v>
      </c>
      <c r="J43" s="7" t="n">
        <v>60</v>
      </c>
      <c r="K43" t="b">
        <v>0</v>
      </c>
      <c r="L43" t="inlineStr">
        <is>
          <t>$62M / $61M (FY2024-25); H1 2026 $28M</t>
        </is>
      </c>
      <c r="M43" t="inlineStr">
        <is>
          <t>Held at recent level.</t>
        </is>
      </c>
    </row>
    <row r="44">
      <c r="A44" t="inlineStr">
        <is>
          <t>nci_distributions</t>
        </is>
      </c>
      <c r="B44" t="inlineStr">
        <is>
          <t>Tax &amp; other</t>
        </is>
      </c>
      <c r="C44" t="inlineStr">
        <is>
          <t>Distributions to NCI ($M)</t>
        </is>
      </c>
      <c r="D44" t="inlineStr">
        <is>
          <t>usd_m</t>
        </is>
      </c>
      <c r="E44" t="inlineStr">
        <is>
          <t>history</t>
        </is>
      </c>
      <c r="F44" s="7" t="n">
        <v>90</v>
      </c>
      <c r="G44" s="7" t="n">
        <v>90</v>
      </c>
      <c r="H44" s="7" t="n">
        <v>90</v>
      </c>
      <c r="I44" s="7" t="n">
        <v>90</v>
      </c>
      <c r="J44" s="7" t="n">
        <v>90</v>
      </c>
      <c r="K44" t="b">
        <v>0</v>
      </c>
      <c r="L44" t="inlineStr">
        <is>
          <t>$144M / $104M / $78M (FY2023-25); H1 2026 $91M</t>
        </is>
      </c>
      <c r="M44" t="inlineStr">
        <is>
          <t>Held near recent level.</t>
        </is>
      </c>
    </row>
    <row r="45">
      <c r="A45" t="inlineStr">
        <is>
          <t>tax_rate</t>
        </is>
      </c>
      <c r="B45" t="inlineStr">
        <is>
          <t>Tax &amp; other</t>
        </is>
      </c>
      <c r="C45" t="inlineStr">
        <is>
          <t>Effective tax rate (%)</t>
        </is>
      </c>
      <c r="D45" t="inlineStr">
        <is>
          <t>pct</t>
        </is>
      </c>
      <c r="E45" t="inlineStr">
        <is>
          <t>judgment</t>
        </is>
      </c>
      <c r="F45" s="7" t="n">
        <v>0.26</v>
      </c>
      <c r="G45" s="7" t="n">
        <v>0.25</v>
      </c>
      <c r="H45" s="7" t="n">
        <v>0.24</v>
      </c>
      <c r="I45" s="7" t="n">
        <v>0.23</v>
      </c>
      <c r="J45" s="7" t="n">
        <v>0.23</v>
      </c>
      <c r="K45" t="b">
        <v>0</v>
      </c>
      <c r="L45" t="inlineStr">
        <is>
          <t>FY2024 20.4%; FY2025 27.0%; H1 2026 22.1% incl. $274M CA valuation-allowance release (10-Q p.23)</t>
        </is>
      </c>
      <c r="M45" t="inlineStr">
        <is>
          <t>Non-deductible 2025 CEO award expense (10-Q p.23) lifts the rate while pre-tax income is small; it converges toward ~23% as profits grow. One-off valuation-allowance releases are excluded.</t>
        </is>
      </c>
    </row>
    <row r="46"/>
    <row r="47">
      <c r="A47" s="1" t="inlineStr">
        <is>
          <t>Operating drivers - Bull scenario</t>
        </is>
      </c>
    </row>
    <row r="48">
      <c r="A48" s="6" t="inlineStr">
        <is>
          <t>Types: history = held at/derived from reported data; guidance = company-stated; judgment = analyst estimate with rationale. Percent drivers are decimals (0.21 = 21%).</t>
        </is>
      </c>
    </row>
    <row r="49">
      <c r="A49" s="3" t="inlineStr">
        <is>
          <t>ID</t>
        </is>
      </c>
      <c r="B49" s="3" t="inlineStr">
        <is>
          <t>Category</t>
        </is>
      </c>
      <c r="C49" s="3" t="inlineStr">
        <is>
          <t>Assumption</t>
        </is>
      </c>
      <c r="D49" s="3" t="inlineStr">
        <is>
          <t>Unit</t>
        </is>
      </c>
      <c r="E49" s="3" t="inlineStr">
        <is>
          <t>Type</t>
        </is>
      </c>
      <c r="F49" s="3" t="inlineStr">
        <is>
          <t>FY2026E</t>
        </is>
      </c>
      <c r="G49" s="3" t="inlineStr">
        <is>
          <t>FY2027E</t>
        </is>
      </c>
      <c r="H49" s="3" t="inlineStr">
        <is>
          <t>FY2028E</t>
        </is>
      </c>
      <c r="I49" s="3" t="inlineStr">
        <is>
          <t>FY2029E</t>
        </is>
      </c>
      <c r="J49" s="3" t="inlineStr">
        <is>
          <t>FY2030E</t>
        </is>
      </c>
      <c r="K49" s="3" t="inlineStr">
        <is>
          <t>Same as base</t>
        </is>
      </c>
      <c r="L49" s="3" t="inlineStr">
        <is>
          <t>Source</t>
        </is>
      </c>
      <c r="M49" s="3" t="inlineStr">
        <is>
          <t>Rationale</t>
        </is>
      </c>
    </row>
    <row r="50">
      <c r="A50" t="inlineStr">
        <is>
          <t>deliveries_3y</t>
        </is>
      </c>
      <c r="B50" t="inlineStr">
        <is>
          <t>Automotive volume &amp; price</t>
        </is>
      </c>
      <c r="C50" t="inlineStr">
        <is>
          <t>Model 3/Y deliveries (thousand units)</t>
        </is>
      </c>
      <c r="D50" t="inlineStr">
        <is>
          <t>k_units</t>
        </is>
      </c>
      <c r="E50" t="inlineStr">
        <is>
          <t>judgment</t>
        </is>
      </c>
      <c r="F50" s="7" t="n">
        <v>1690</v>
      </c>
      <c r="G50" s="7" t="n">
        <v>1830</v>
      </c>
      <c r="H50" s="7" t="n">
        <v>1970</v>
      </c>
      <c r="I50" s="7" t="n">
        <v>2100</v>
      </c>
      <c r="J50" s="7" t="n">
        <v>2220</v>
      </c>
      <c r="K50" t="b">
        <v>0</v>
      </c>
      <c r="L50" t="inlineStr">
        <is>
          <t>8-K Ex. 99.1 delivery releases: FY2025 1,585k; H1 2026 810k</t>
        </is>
      </c>
      <c r="M50" t="inlineStr">
        <is>
          <t>FY2026 = H1 2026 actual (~810k) plus an H2 slightly below H2 2025, which was pulled forward by the Sept-2025 U.S. EV tax-credit expiry. Thereafter low-single-digit growth as the refreshed/standard trims and new markets offset an ageing line-up and intensifying Chinese competition.</t>
        </is>
      </c>
    </row>
    <row r="51">
      <c r="A51" t="inlineStr">
        <is>
          <t>deliveries_other</t>
        </is>
      </c>
      <c r="B51" t="inlineStr">
        <is>
          <t>Automotive volume &amp; price</t>
        </is>
      </c>
      <c r="C51" t="inlineStr">
        <is>
          <t>Other models deliveries incl. Cybercab/Semi (thousand units)</t>
        </is>
      </c>
      <c r="D51" t="inlineStr">
        <is>
          <t>k_units</t>
        </is>
      </c>
      <c r="E51" t="inlineStr">
        <is>
          <t>judgment</t>
        </is>
      </c>
      <c r="F51" s="7" t="n">
        <v>60</v>
      </c>
      <c r="G51" s="7" t="n">
        <v>160</v>
      </c>
      <c r="H51" s="7" t="n">
        <v>320</v>
      </c>
      <c r="I51" s="7" t="n">
        <v>520</v>
      </c>
      <c r="J51" s="7" t="n">
        <v>750</v>
      </c>
      <c r="K51" t="b">
        <v>0</v>
      </c>
      <c r="L51" t="inlineStr">
        <is>
          <t>8-K Ex. 99.1: FY2025 50.9k; H1 2026 28.5k; Cybercab production began H1 2026 (10-Q p.29)</t>
        </is>
      </c>
      <c r="M51" t="inlineStr">
        <is>
          <t>S/X/Cybertruck volumes are small and declining; growth comes from Cybercab and Semi, which Tesla began producing in 2026. The ramp is a judgment - Tesla gives no unit guidance.</t>
        </is>
      </c>
    </row>
    <row r="52">
      <c r="A52" t="inlineStr">
        <is>
          <t>asp_3y</t>
        </is>
      </c>
      <c r="B52" t="inlineStr">
        <is>
          <t>Automotive volume &amp; price</t>
        </is>
      </c>
      <c r="C52" t="inlineStr">
        <is>
          <t>Model 3/Y average selling price ($ thousand)</t>
        </is>
      </c>
      <c r="D52" t="inlineStr">
        <is>
          <t>usd_k</t>
        </is>
      </c>
      <c r="E52" t="inlineStr">
        <is>
          <t>judgment</t>
        </is>
      </c>
      <c r="F52" s="7" t="n">
        <v>41.2</v>
      </c>
      <c r="G52" s="7" t="n">
        <v>41.4</v>
      </c>
      <c r="H52" s="7" t="n">
        <v>41.6</v>
      </c>
      <c r="I52" s="7" t="n">
        <v>41.8</v>
      </c>
      <c r="J52" s="7" t="n">
        <v>42</v>
      </c>
      <c r="K52" t="b">
        <v>0</v>
      </c>
      <c r="L52" t="inlineStr">
        <is>
          <t>Derived: automotive sales / (3Y + 2x other deliveries). FY2025 $39.0k; H1 2026 $40.9k</t>
        </is>
      </c>
      <c r="M52" t="inlineStr">
        <is>
          <t>Tesla does not disclose revenue by model. History is split assuming other models carry ~2x the 3/Y price (list-price relationship). Forecast holds near the H1 2026 level, drifting down ~1%/yr for price competition and mix toward cheaper trims; FSD revenue recognised in automotive sales supports ASP.</t>
        </is>
      </c>
    </row>
    <row r="53">
      <c r="A53" t="inlineStr">
        <is>
          <t>asp_other</t>
        </is>
      </c>
      <c r="B53" t="inlineStr">
        <is>
          <t>Automotive volume &amp; price</t>
        </is>
      </c>
      <c r="C53" t="inlineStr">
        <is>
          <t>Other models ASP ($ thousand)</t>
        </is>
      </c>
      <c r="D53" t="inlineStr">
        <is>
          <t>usd_k</t>
        </is>
      </c>
      <c r="E53" t="inlineStr">
        <is>
          <t>judgment</t>
        </is>
      </c>
      <c r="F53" s="7" t="n">
        <v>80</v>
      </c>
      <c r="G53" s="7" t="n">
        <v>62</v>
      </c>
      <c r="H53" s="7" t="n">
        <v>52</v>
      </c>
      <c r="I53" s="7" t="n">
        <v>48</v>
      </c>
      <c r="J53" s="7" t="n">
        <v>45</v>
      </c>
      <c r="K53" t="b">
        <v>0</v>
      </c>
      <c r="L53" t="inlineStr">
        <is>
          <t>Derived history = 2x 3/Y ASP (FY2025 $78k)</t>
        </is>
      </c>
      <c r="M53" t="inlineStr">
        <is>
          <t>Declines as the mix shifts from S/X/Cybertruck (~$80k+) toward Cybercab, which Tesla has said will be priced far below current models; blended value reaches the high-$40ks by 2030.</t>
        </is>
      </c>
    </row>
    <row r="54">
      <c r="A54" t="inlineStr">
        <is>
          <t>reg_credits</t>
        </is>
      </c>
      <c r="B54" t="inlineStr">
        <is>
          <t>Automotive other revenue</t>
        </is>
      </c>
      <c r="C54" t="inlineStr">
        <is>
          <t>Regulatory credit revenue ($M)</t>
        </is>
      </c>
      <c r="D54" t="inlineStr">
        <is>
          <t>usd_m</t>
        </is>
      </c>
      <c r="E54" t="inlineStr">
        <is>
          <t>judgment</t>
        </is>
      </c>
      <c r="F54" s="7" t="n">
        <v>950</v>
      </c>
      <c r="G54" s="7" t="n">
        <v>700</v>
      </c>
      <c r="H54" s="7" t="n">
        <v>500</v>
      </c>
      <c r="I54" s="7" t="n">
        <v>400</v>
      </c>
      <c r="J54" s="7" t="n">
        <v>300</v>
      </c>
      <c r="K54" t="b">
        <v>0</v>
      </c>
      <c r="L54" t="inlineStr">
        <is>
          <t>10-K FY2025 p.37: $1,993M (-28%); 10-Q Q2 2026 p.31: H1 $526M (-49%); OBBBA restricted credit programs</t>
        </is>
      </c>
      <c r="M54" t="inlineStr">
        <is>
          <t>FY2026 ~ H1 run-rate plus a smaller H2; then continued decline as U.S. programs are curtailed (OBBBA) and other OEMs become self-sufficient in credits. High-margin, so the decline hits profit directly.</t>
        </is>
      </c>
    </row>
    <row r="55">
      <c r="A55" t="inlineStr">
        <is>
          <t>auto_leasing_rev</t>
        </is>
      </c>
      <c r="B55" t="inlineStr">
        <is>
          <t>Automotive other revenue</t>
        </is>
      </c>
      <c r="C55" t="inlineStr">
        <is>
          <t>Automotive leasing revenue ($M)</t>
        </is>
      </c>
      <c r="D55" t="inlineStr">
        <is>
          <t>usd_m</t>
        </is>
      </c>
      <c r="E55" t="inlineStr">
        <is>
          <t>judgment</t>
        </is>
      </c>
      <c r="F55" s="7" t="n">
        <v>1450</v>
      </c>
      <c r="G55" s="7" t="n">
        <v>1350</v>
      </c>
      <c r="H55" s="7" t="n">
        <v>1300</v>
      </c>
      <c r="I55" s="7" t="n">
        <v>1300</v>
      </c>
      <c r="J55" s="7" t="n">
        <v>1300</v>
      </c>
      <c r="K55" t="b">
        <v>1</v>
      </c>
      <c r="L55" t="inlineStr">
        <is>
          <t>FY2025 $1,712M; H1 2026 $745M (10-Q p.31)</t>
        </is>
      </c>
      <c r="M55" t="inlineStr">
        <is>
          <t>Only ~1-2% of deliveries are now subject to operating-lease accounting (8-K Ex. 99.1), so the lease book is running off; revenue stabilises around $1.3B.</t>
        </is>
      </c>
    </row>
    <row r="56">
      <c r="A56" t="inlineStr">
        <is>
          <t>services_growth</t>
        </is>
      </c>
      <c r="B56" t="inlineStr">
        <is>
          <t>Services &amp; autonomy</t>
        </is>
      </c>
      <c r="C56" t="inlineStr">
        <is>
          <t>Services &amp; other revenue growth (%)</t>
        </is>
      </c>
      <c r="D56" t="inlineStr">
        <is>
          <t>pct</t>
        </is>
      </c>
      <c r="E56" t="inlineStr">
        <is>
          <t>judgment</t>
        </is>
      </c>
      <c r="F56" s="7" t="n">
        <v>0.38</v>
      </c>
      <c r="G56" s="7" t="n">
        <v>0.26</v>
      </c>
      <c r="H56" s="7" t="n">
        <v>0.24</v>
      </c>
      <c r="I56" s="7" t="n">
        <v>0.22</v>
      </c>
      <c r="J56" s="7" t="n">
        <v>0.2</v>
      </c>
      <c r="K56" t="b">
        <v>0</v>
      </c>
      <c r="L56" t="inlineStr">
        <is>
          <t>FY2025 $12,530M (+19%); H1 2026 +46% YoY (10-Q p.31)</t>
        </is>
      </c>
      <c r="M56" t="inlineStr">
        <is>
          <t>Paid Supercharging, insurance, used vehicles, parts and service scale with Tesla's growing installed fleet. FY2026 reflects the +46% H1 run-rate tapering in H2; growth then fades toward mid-teens.</t>
        </is>
      </c>
    </row>
    <row r="57">
      <c r="A57" t="inlineStr">
        <is>
          <t>autonomy_rev</t>
        </is>
      </c>
      <c r="B57" t="inlineStr">
        <is>
          <t>Services &amp; autonomy</t>
        </is>
      </c>
      <c r="C57" t="inlineStr">
        <is>
          <t>Robotaxi / autonomy network revenue ($M)</t>
        </is>
      </c>
      <c r="D57" t="inlineStr">
        <is>
          <t>usd_m</t>
        </is>
      </c>
      <c r="E57" t="inlineStr">
        <is>
          <t>judgment</t>
        </is>
      </c>
      <c r="F57" s="7" t="n">
        <v>0</v>
      </c>
      <c r="G57" s="7" t="n">
        <v>2000</v>
      </c>
      <c r="H57" s="7" t="n">
        <v>7000</v>
      </c>
      <c r="I57" s="7" t="n">
        <v>15000</v>
      </c>
      <c r="J57" s="7" t="n">
        <v>25000</v>
      </c>
      <c r="K57" t="b">
        <v>0</v>
      </c>
      <c r="L57" t="inlineStr">
        <is>
          <t>No separate disclosure. Robotaxi service launched June 2025; Cybercab production began H1 2026 (10-Q p.28-29)</t>
        </is>
      </c>
      <c r="M57" t="inlineStr">
        <is>
          <t>Tesla does not report robotaxi revenue; any current amount sits in services &amp; other. This line is an explicit, isolated judgment for incremental ride-hailing revenue so its value contribution is visible. Base assumes a gradual multi-city ramp; bear assumes no material commercial scale by 2030.</t>
        </is>
      </c>
    </row>
    <row r="58">
      <c r="A58" t="inlineStr">
        <is>
          <t>gm_autonomy</t>
        </is>
      </c>
      <c r="B58" t="inlineStr">
        <is>
          <t>Services &amp; autonomy</t>
        </is>
      </c>
      <c r="C58" t="inlineStr">
        <is>
          <t>Autonomy revenue cash gross margin (%)</t>
        </is>
      </c>
      <c r="D58" t="inlineStr">
        <is>
          <t>pct</t>
        </is>
      </c>
      <c r="E58" t="inlineStr">
        <is>
          <t>judgment</t>
        </is>
      </c>
      <c r="F58" s="7" t="n">
        <v>0.5</v>
      </c>
      <c r="G58" s="7" t="n">
        <v>0.5</v>
      </c>
      <c r="H58" s="7" t="n">
        <v>0.5</v>
      </c>
      <c r="I58" s="7" t="n">
        <v>0.5</v>
      </c>
      <c r="J58" s="7" t="n">
        <v>0.5</v>
      </c>
      <c r="K58" t="b">
        <v>0</v>
      </c>
      <c r="L58" t="inlineStr">
        <is>
          <t>No disclosure</t>
        </is>
      </c>
      <c r="M58" t="inlineStr">
        <is>
          <t>A company-owned fleet carries vehicle depreciation (captured via capex/D&amp;A), energy, cleaning, insurance and remote-operations costs. A 40% cash gross margin is an assumption, not a Tesla figure.</t>
        </is>
      </c>
    </row>
    <row r="59">
      <c r="A59" t="inlineStr">
        <is>
          <t>storage_gwh</t>
        </is>
      </c>
      <c r="B59" t="inlineStr">
        <is>
          <t>Energy</t>
        </is>
      </c>
      <c r="C59" t="inlineStr">
        <is>
          <t>Energy storage deployed (GWh)</t>
        </is>
      </c>
      <c r="D59" t="inlineStr">
        <is>
          <t>gwh</t>
        </is>
      </c>
      <c r="E59" t="inlineStr">
        <is>
          <t>judgment</t>
        </is>
      </c>
      <c r="F59" s="7" t="n">
        <v>52</v>
      </c>
      <c r="G59" s="7" t="n">
        <v>68</v>
      </c>
      <c r="H59" s="7" t="n">
        <v>88</v>
      </c>
      <c r="I59" s="7" t="n">
        <v>110</v>
      </c>
      <c r="J59" s="7" t="n">
        <v>135</v>
      </c>
      <c r="K59" t="b">
        <v>0</v>
      </c>
      <c r="L59" t="inlineStr">
        <is>
          <t>10-K: 14.7 / 31.4 / 46.7 GWh (FY2023-25); 10-Q p.28: H1 2026 22.3 GWh</t>
        </is>
      </c>
      <c r="M59" t="inlineStr">
        <is>
          <t>Lathrop and Shanghai Megafactories are ramping and a Houston Megafactory is under construction (10-Q p.30). Growth slows from the 2023-25 pace as tariffs weigh on the U.S. business.</t>
        </is>
      </c>
    </row>
    <row r="60">
      <c r="A60" t="inlineStr">
        <is>
          <t>energy_rev_per_gwh</t>
        </is>
      </c>
      <c r="B60" t="inlineStr">
        <is>
          <t>Energy</t>
        </is>
      </c>
      <c r="C60" t="inlineStr">
        <is>
          <t>Energy revenue per GWh deployed ($M/GWh)</t>
        </is>
      </c>
      <c r="D60" t="inlineStr">
        <is>
          <t>usd_m_per_gwh</t>
        </is>
      </c>
      <c r="E60" t="inlineStr">
        <is>
          <t>judgment</t>
        </is>
      </c>
      <c r="F60" s="7" t="n">
        <v>250</v>
      </c>
      <c r="G60" s="7" t="n">
        <v>246</v>
      </c>
      <c r="H60" s="7" t="n">
        <v>242</v>
      </c>
      <c r="I60" s="7" t="n">
        <v>238</v>
      </c>
      <c r="J60" s="7" t="n">
        <v>234</v>
      </c>
      <c r="K60" t="b">
        <v>0</v>
      </c>
      <c r="L60" t="inlineStr">
        <is>
          <t>Derived: FY2025 $273M; H1 2026 $249M (includes solar &amp; services)</t>
        </is>
      </c>
      <c r="M60" t="inlineStr">
        <is>
          <t>Megapack ASPs are falling (10-K p.38 cites lower Megapack ASP) as cell costs fall and competition rises; the ratio drifts down ~2-3% per year from the H1 2026 level.</t>
        </is>
      </c>
    </row>
    <row r="61">
      <c r="A61" t="inlineStr">
        <is>
          <t>gm_auto_sales</t>
        </is>
      </c>
      <c r="B61" t="inlineStr">
        <is>
          <t>Margins</t>
        </is>
      </c>
      <c r="C61" t="inlineStr">
        <is>
          <t>Automotive sales cash gross margin, ex-D&amp;A (%)</t>
        </is>
      </c>
      <c r="D61" t="inlineStr">
        <is>
          <t>pct</t>
        </is>
      </c>
      <c r="E61" t="inlineStr">
        <is>
          <t>judgment</t>
        </is>
      </c>
      <c r="F61" s="7" t="n">
        <v>0.215</v>
      </c>
      <c r="G61" s="7" t="n">
        <v>0.225</v>
      </c>
      <c r="H61" s="7" t="n">
        <v>0.235</v>
      </c>
      <c r="I61" s="7" t="n">
        <v>0.245</v>
      </c>
      <c r="J61" s="7" t="n">
        <v>0.25</v>
      </c>
      <c r="K61" t="b">
        <v>0</v>
      </c>
      <c r="L61" t="inlineStr">
        <is>
          <t>Derived from 10-K/10-Q with segment D&amp;A (Note 16): FY2025 19.2%; H1 2026 21.2%; GAAP FY2025 14.5%</t>
        </is>
      </c>
      <c r="M61" t="inlineStr">
        <is>
          <t>Margins are modelled before D&amp;A so capex and depreciation flow through explicitly. Base holds near the H1 2026 level, with modest improvement from cost-down and own-cell/cathode ramps offset by tariffs.</t>
        </is>
      </c>
    </row>
    <row r="62">
      <c r="A62" t="inlineStr">
        <is>
          <t>gm_leasing</t>
        </is>
      </c>
      <c r="B62" t="inlineStr">
        <is>
          <t>Margins</t>
        </is>
      </c>
      <c r="C62" t="inlineStr">
        <is>
          <t>Automotive leasing cash gross margin (%)</t>
        </is>
      </c>
      <c r="D62" t="inlineStr">
        <is>
          <t>pct</t>
        </is>
      </c>
      <c r="E62" t="inlineStr">
        <is>
          <t>history</t>
        </is>
      </c>
      <c r="F62" s="7" t="n">
        <v>0.5</v>
      </c>
      <c r="G62" s="7" t="n">
        <v>0.5</v>
      </c>
      <c r="H62" s="7" t="n">
        <v>0.5</v>
      </c>
      <c r="I62" s="7" t="n">
        <v>0.5</v>
      </c>
      <c r="J62" s="7" t="n">
        <v>0.5</v>
      </c>
      <c r="K62" t="b">
        <v>1</v>
      </c>
      <c r="L62" t="inlineStr">
        <is>
          <t>Derived: FY2025 50.4%; H1 2026 51.3%</t>
        </is>
      </c>
      <c r="M62" t="inlineStr">
        <is>
          <t>Held at the FY2025/H1 2026 level.</t>
        </is>
      </c>
    </row>
    <row r="63">
      <c r="A63" t="inlineStr">
        <is>
          <t>gm_services</t>
        </is>
      </c>
      <c r="B63" t="inlineStr">
        <is>
          <t>Margins</t>
        </is>
      </c>
      <c r="C63" t="inlineStr">
        <is>
          <t>Services &amp; other cash gross margin (%)</t>
        </is>
      </c>
      <c r="D63" t="inlineStr">
        <is>
          <t>pct</t>
        </is>
      </c>
      <c r="E63" t="inlineStr">
        <is>
          <t>judgment</t>
        </is>
      </c>
      <c r="F63" s="7" t="n">
        <v>0.17</v>
      </c>
      <c r="G63" s="7" t="n">
        <v>0.19</v>
      </c>
      <c r="H63" s="7" t="n">
        <v>0.21</v>
      </c>
      <c r="I63" s="7" t="n">
        <v>0.23</v>
      </c>
      <c r="J63" s="7" t="n">
        <v>0.25</v>
      </c>
      <c r="K63" t="b">
        <v>0</v>
      </c>
      <c r="L63" t="inlineStr">
        <is>
          <t>Derived: FY2025 12.5%; H1 2026 16.5%</t>
        </is>
      </c>
      <c r="M63" t="inlineStr">
        <is>
          <t>Operating leverage in Supercharging and service as the fleet grows; H1 2026 already showed a step-up.</t>
        </is>
      </c>
    </row>
    <row r="64">
      <c r="A64" t="inlineStr">
        <is>
          <t>gm_energy</t>
        </is>
      </c>
      <c r="B64" t="inlineStr">
        <is>
          <t>Margins</t>
        </is>
      </c>
      <c r="C64" t="inlineStr">
        <is>
          <t>Energy cash gross margin, ex-D&amp;A (%)</t>
        </is>
      </c>
      <c r="D64" t="inlineStr">
        <is>
          <t>pct</t>
        </is>
      </c>
      <c r="E64" t="inlineStr">
        <is>
          <t>judgment</t>
        </is>
      </c>
      <c r="F64" s="7" t="n">
        <v>0.31</v>
      </c>
      <c r="G64" s="7" t="n">
        <v>0.32</v>
      </c>
      <c r="H64" s="7" t="n">
        <v>0.33</v>
      </c>
      <c r="I64" s="7" t="n">
        <v>0.33</v>
      </c>
      <c r="J64" s="7" t="n">
        <v>0.33</v>
      </c>
      <c r="K64" t="b">
        <v>0</v>
      </c>
      <c r="L64" t="inlineStr">
        <is>
          <t>Derived: FY2025 32.6%; H1 2026 32.2% (GAAP Q2 2026 fell to 20.4% on tariffs, 10-Q p.32)</t>
        </is>
      </c>
      <c r="M64" t="inlineStr">
        <is>
          <t>Below the FY2025 level because the 10-Q flags tariffs weighing more heavily on energy than autos; partially offset by manufacturing credits and Shanghai Megafactory scale.</t>
        </is>
      </c>
    </row>
    <row r="65">
      <c r="A65" t="inlineStr">
        <is>
          <t>rd_pct</t>
        </is>
      </c>
      <c r="B65" t="inlineStr">
        <is>
          <t>Operating expenses</t>
        </is>
      </c>
      <c r="C65" t="inlineStr">
        <is>
          <t>R&amp;D ex-D&amp;A (% of revenue)</t>
        </is>
      </c>
      <c r="D65" t="inlineStr">
        <is>
          <t>pct</t>
        </is>
      </c>
      <c r="E65" t="inlineStr">
        <is>
          <t>judgment</t>
        </is>
      </c>
      <c r="F65" s="7" t="n">
        <v>0.074</v>
      </c>
      <c r="G65" s="7" t="n">
        <v>0.07000000000000001</v>
      </c>
      <c r="H65" s="7" t="n">
        <v>0.066</v>
      </c>
      <c r="I65" s="7" t="n">
        <v>0.063</v>
      </c>
      <c r="J65" s="7" t="n">
        <v>0.06</v>
      </c>
      <c r="K65" t="b">
        <v>0</v>
      </c>
      <c r="L65" t="inlineStr">
        <is>
          <t>Derived: FY2025 5.6%; H1 2026 7.4%</t>
        </is>
      </c>
      <c r="M65" t="inlineStr">
        <is>
          <t>AI training, Optimus and Cybercab keep R&amp;D elevated at the H1 2026 intensity, easing slightly as revenue grows. Bear keeps the base ratios (management trims spend as growth stalls); recession shows a temporary spike as revenue falls faster than costs.</t>
        </is>
      </c>
    </row>
    <row r="66">
      <c r="A66" t="inlineStr">
        <is>
          <t>sga_pct</t>
        </is>
      </c>
      <c r="B66" t="inlineStr">
        <is>
          <t>Operating expenses</t>
        </is>
      </c>
      <c r="C66" t="inlineStr">
        <is>
          <t>SG&amp;A ex-D&amp;A (% of revenue)</t>
        </is>
      </c>
      <c r="D66" t="inlineStr">
        <is>
          <t>pct</t>
        </is>
      </c>
      <c r="E66" t="inlineStr">
        <is>
          <t>judgment</t>
        </is>
      </c>
      <c r="F66" s="7" t="n">
        <v>0.064</v>
      </c>
      <c r="G66" s="7" t="n">
        <v>0.06</v>
      </c>
      <c r="H66" s="7" t="n">
        <v>0.057</v>
      </c>
      <c r="I66" s="7" t="n">
        <v>0.054</v>
      </c>
      <c r="J66" s="7" t="n">
        <v>0.052</v>
      </c>
      <c r="K66" t="b">
        <v>0</v>
      </c>
      <c r="L66" t="inlineStr">
        <is>
          <t>Derived: FY2025 5.1%; H1 2026 6.5% (includes 2025 CEO award SBC, 10-Q p.33)</t>
        </is>
      </c>
      <c r="M66" t="inlineStr">
        <is>
          <t>Held near the H1 2026 ratio, which includes ~$1.1B/yr of 2025 CEO Performance Award expense; modest leverage thereafter. Bear keeps the base ratios; recession shows a temporary spike as revenue falls faster than costs.</t>
        </is>
      </c>
    </row>
    <row r="67">
      <c r="A67" t="inlineStr">
        <is>
          <t>sbc_pct</t>
        </is>
      </c>
      <c r="B67" t="inlineStr">
        <is>
          <t>Operating expenses</t>
        </is>
      </c>
      <c r="C67" t="inlineStr">
        <is>
          <t>Stock-based compensation (% of revenue, non-cash, within costs)</t>
        </is>
      </c>
      <c r="D67" t="inlineStr">
        <is>
          <t>pct</t>
        </is>
      </c>
      <c r="E67" t="inlineStr">
        <is>
          <t>judgment</t>
        </is>
      </c>
      <c r="F67" s="7" t="n">
        <v>0.042</v>
      </c>
      <c r="G67" s="7" t="n">
        <v>0.04</v>
      </c>
      <c r="H67" s="7" t="n">
        <v>0.038</v>
      </c>
      <c r="I67" s="7" t="n">
        <v>0.036</v>
      </c>
      <c r="J67" s="7" t="n">
        <v>0.034</v>
      </c>
      <c r="K67" t="b">
        <v>1</v>
      </c>
      <c r="L67" t="inlineStr">
        <is>
          <t>CF statement: FY2025 3.0%; H1 2026 4.3%; $9.82B unrecognised CEO award cost over 9.2 yrs (10-Q p.21)</t>
        </is>
      </c>
      <c r="M67" t="inlineStr">
        <is>
          <t>SBC is already inside the cost ratios above; this line only sizes the non-cash add-back and APIC build. Declines as a share of revenue while CEO award expense stays roughly flat in dollars.</t>
        </is>
      </c>
    </row>
    <row r="68">
      <c r="A68" t="inlineStr">
        <is>
          <t>da_rate</t>
        </is>
      </c>
      <c r="B68" t="inlineStr">
        <is>
          <t>D&amp;A &amp; capex</t>
        </is>
      </c>
      <c r="C68" t="inlineStr">
        <is>
          <t>D&amp;A (% of beginning net fixed assets)</t>
        </is>
      </c>
      <c r="D68" t="inlineStr">
        <is>
          <t>pct</t>
        </is>
      </c>
      <c r="E68" t="inlineStr">
        <is>
          <t>history</t>
        </is>
      </c>
      <c r="F68" s="7" t="n">
        <v>0.13</v>
      </c>
      <c r="G68" s="7" t="n">
        <v>0.13</v>
      </c>
      <c r="H68" s="7" t="n">
        <v>0.13</v>
      </c>
      <c r="I68" s="7" t="n">
        <v>0.13</v>
      </c>
      <c r="J68" s="7" t="n">
        <v>0.13</v>
      </c>
      <c r="K68" t="b">
        <v>1</v>
      </c>
      <c r="L68" t="inlineStr">
        <is>
          <t>Derived: FY2024 13.1%; FY2025 13.3%; H1 2026 ann. 12.8%</t>
        </is>
      </c>
      <c r="M68" t="inlineStr">
        <is>
          <t>Held at the three-period average. Net fixed assets = PP&amp;E + operating-lease vehicles + energy systems.</t>
        </is>
      </c>
    </row>
    <row r="69">
      <c r="A69" t="inlineStr">
        <is>
          <t>da_cogs_share</t>
        </is>
      </c>
      <c r="B69" t="inlineStr">
        <is>
          <t>D&amp;A &amp; capex</t>
        </is>
      </c>
      <c r="C69" t="inlineStr">
        <is>
          <t>Share of D&amp;A recorded in cost of revenues (%)</t>
        </is>
      </c>
      <c r="D69" t="inlineStr">
        <is>
          <t>pct</t>
        </is>
      </c>
      <c r="E69" t="inlineStr">
        <is>
          <t>history</t>
        </is>
      </c>
      <c r="F69" s="7" t="n">
        <v>0.67</v>
      </c>
      <c r="G69" s="7" t="n">
        <v>0.67</v>
      </c>
      <c r="H69" s="7" t="n">
        <v>0.67</v>
      </c>
      <c r="I69" s="7" t="n">
        <v>0.67</v>
      </c>
      <c r="J69" s="7" t="n">
        <v>0.67</v>
      </c>
      <c r="K69" t="b">
        <v>1</v>
      </c>
      <c r="L69" t="inlineStr">
        <is>
          <t>Segment note D&amp;A in COGS / total D&amp;A: FY2025 67%; H1 2026 66%</t>
        </is>
      </c>
      <c r="M69" t="inlineStr">
        <is>
          <t>Presentation only (splits D&amp;A between gross profit and opex); no effect on EBIT or cash flow.</t>
        </is>
      </c>
    </row>
    <row r="70">
      <c r="A70" t="inlineStr">
        <is>
          <t>capex</t>
        </is>
      </c>
      <c r="B70" t="inlineStr">
        <is>
          <t>D&amp;A &amp; capex</t>
        </is>
      </c>
      <c r="C70" t="inlineStr">
        <is>
          <t>Capital expenditures ($M)</t>
        </is>
      </c>
      <c r="D70" t="inlineStr">
        <is>
          <t>usd_m</t>
        </is>
      </c>
      <c r="E70" t="inlineStr">
        <is>
          <t>guidance</t>
        </is>
      </c>
      <c r="F70" s="7" t="n">
        <v>25000</v>
      </c>
      <c r="G70" s="7" t="n">
        <v>24000</v>
      </c>
      <c r="H70" s="7" t="n">
        <v>21000</v>
      </c>
      <c r="I70" s="7" t="n">
        <v>19000</v>
      </c>
      <c r="J70" s="7" t="n">
        <v>18000</v>
      </c>
      <c r="K70" t="b">
        <v>0</v>
      </c>
      <c r="L70" t="inlineStr">
        <is>
          <t>10-Q Q2 2026 p.35: 2026 capex 'in excess of $25 billion'; H1 2026 actual $8,282M</t>
        </is>
      </c>
      <c r="M70" t="inlineStr">
        <is>
          <t>FY2026 = guidance floor. 2027-30 are judgment: AI compute, Cybercab/Optimus lines and cell factories keep spend elevated before easing toward ~1.2x D&amp;A. Bear and recession cases assume Tesla slows projects as cash generation weakens, which the 10-Q (Liquidity section) says it can do; without that cut the bear case breaches the minimum-cash rule even with the revolver fully drawn.</t>
        </is>
      </c>
    </row>
    <row r="71">
      <c r="A71" t="inlineStr">
        <is>
          <t>strategic_investment</t>
        </is>
      </c>
      <c r="B71" t="inlineStr">
        <is>
          <t>D&amp;A &amp; capex</t>
        </is>
      </c>
      <c r="C71" t="inlineStr">
        <is>
          <t>Strategic equity investments ($M, non-operating)</t>
        </is>
      </c>
      <c r="D71" t="inlineStr">
        <is>
          <t>usd_m</t>
        </is>
      </c>
      <c r="E71" t="inlineStr">
        <is>
          <t>history</t>
        </is>
      </c>
      <c r="F71" s="7" t="n">
        <v>2002</v>
      </c>
      <c r="G71" s="7" t="n">
        <v>0</v>
      </c>
      <c r="H71" s="7" t="n">
        <v>0</v>
      </c>
      <c r="I71" s="7" t="n">
        <v>0</v>
      </c>
      <c r="J71" s="7" t="n">
        <v>0</v>
      </c>
      <c r="K71" t="b">
        <v>1</v>
      </c>
      <c r="L71" t="inlineStr">
        <is>
          <t>10-Q CF p.8-9: purchase of SpaceX equity investment $2,002M in H1 2026</t>
        </is>
      </c>
      <c r="M71" t="inlineStr">
        <is>
          <t>H1 2026 actual; no further investments assumed. Excluded from FCFE and valued separately at carrying value.</t>
        </is>
      </c>
    </row>
    <row r="72">
      <c r="A72" t="inlineStr">
        <is>
          <t>dso</t>
        </is>
      </c>
      <c r="B72" t="inlineStr">
        <is>
          <t>Working capital</t>
        </is>
      </c>
      <c r="C72" t="inlineStr">
        <is>
          <t>Receivable days (DSO, on revenue)</t>
        </is>
      </c>
      <c r="D72" t="inlineStr">
        <is>
          <t>days</t>
        </is>
      </c>
      <c r="E72" t="inlineStr">
        <is>
          <t>history</t>
        </is>
      </c>
      <c r="F72" s="7" t="n">
        <v>17.6</v>
      </c>
      <c r="G72" s="7" t="n">
        <v>17.6</v>
      </c>
      <c r="H72" s="7" t="n">
        <v>17.6</v>
      </c>
      <c r="I72" s="7" t="n">
        <v>17.6</v>
      </c>
      <c r="J72" s="7" t="n">
        <v>17.6</v>
      </c>
      <c r="K72" t="b">
        <v>1</v>
      </c>
      <c r="L72" t="inlineStr">
        <is>
          <t>Derived: FY2023 13.2; FY2024 16.5; FY2025 17.6</t>
        </is>
      </c>
      <c r="M72" t="inlineStr">
        <is>
          <t>Held at the FY2025 level.</t>
        </is>
      </c>
    </row>
    <row r="73">
      <c r="A73" t="inlineStr">
        <is>
          <t>dio</t>
        </is>
      </c>
      <c r="B73" t="inlineStr">
        <is>
          <t>Working capital</t>
        </is>
      </c>
      <c r="C73" t="inlineStr">
        <is>
          <t>Inventory days (DIO, on cost of revenues)</t>
        </is>
      </c>
      <c r="D73" t="inlineStr">
        <is>
          <t>days</t>
        </is>
      </c>
      <c r="E73" t="inlineStr">
        <is>
          <t>history</t>
        </is>
      </c>
      <c r="F73" s="7" t="n">
        <v>58.2</v>
      </c>
      <c r="G73" s="7" t="n">
        <v>58.2</v>
      </c>
      <c r="H73" s="7" t="n">
        <v>58.2</v>
      </c>
      <c r="I73" s="7" t="n">
        <v>58.2</v>
      </c>
      <c r="J73" s="7" t="n">
        <v>58.2</v>
      </c>
      <c r="K73" t="b">
        <v>1</v>
      </c>
      <c r="L73" t="inlineStr">
        <is>
          <t>Derived: FY2023 62.9; FY2024 54.7; FY2025 58.2</t>
        </is>
      </c>
      <c r="M73" t="inlineStr">
        <is>
          <t>Held at the FY2025 level; recession case assumes an inventory build.</t>
        </is>
      </c>
    </row>
    <row r="74">
      <c r="A74" t="inlineStr">
        <is>
          <t>dpo</t>
        </is>
      </c>
      <c r="B74" t="inlineStr">
        <is>
          <t>Working capital</t>
        </is>
      </c>
      <c r="C74" t="inlineStr">
        <is>
          <t>Payable days (DPO, on cost of revenues)</t>
        </is>
      </c>
      <c r="D74" t="inlineStr">
        <is>
          <t>days</t>
        </is>
      </c>
      <c r="E74" t="inlineStr">
        <is>
          <t>history</t>
        </is>
      </c>
      <c r="F74" s="7" t="n">
        <v>62.8</v>
      </c>
      <c r="G74" s="7" t="n">
        <v>62.8</v>
      </c>
      <c r="H74" s="7" t="n">
        <v>62.8</v>
      </c>
      <c r="I74" s="7" t="n">
        <v>62.8</v>
      </c>
      <c r="J74" s="7" t="n">
        <v>62.8</v>
      </c>
      <c r="K74" t="b">
        <v>1</v>
      </c>
      <c r="L74" t="inlineStr">
        <is>
          <t>Derived: FY2023 66.6; FY2024 56.7; FY2025 62.8</t>
        </is>
      </c>
      <c r="M74" t="inlineStr">
        <is>
          <t>Held at the FY2025 level.</t>
        </is>
      </c>
    </row>
    <row r="75">
      <c r="A75" t="inlineStr">
        <is>
          <t>prepaid_pct</t>
        </is>
      </c>
      <c r="B75" t="inlineStr">
        <is>
          <t>Working capital</t>
        </is>
      </c>
      <c r="C75" t="inlineStr">
        <is>
          <t>Prepaid &amp; other current assets (% revenue)</t>
        </is>
      </c>
      <c r="D75" t="inlineStr">
        <is>
          <t>pct</t>
        </is>
      </c>
      <c r="E75" t="inlineStr">
        <is>
          <t>history</t>
        </is>
      </c>
      <c r="F75" s="7" t="n">
        <v>0.0803</v>
      </c>
      <c r="G75" s="7" t="n">
        <v>0.0803</v>
      </c>
      <c r="H75" s="7" t="n">
        <v>0.0803</v>
      </c>
      <c r="I75" s="7" t="n">
        <v>0.0803</v>
      </c>
      <c r="J75" s="7" t="n">
        <v>0.0803</v>
      </c>
      <c r="K75" t="b">
        <v>1</v>
      </c>
      <c r="L75" t="inlineStr">
        <is>
          <t>Derived: FY2024 5.5%; FY2025 8.0%</t>
        </is>
      </c>
      <c r="M75" t="inlineStr">
        <is>
          <t>Held at the FY2025 level.</t>
        </is>
      </c>
    </row>
    <row r="76">
      <c r="A76" t="inlineStr">
        <is>
          <t>accrued_pct</t>
        </is>
      </c>
      <c r="B76" t="inlineStr">
        <is>
          <t>Working capital</t>
        </is>
      </c>
      <c r="C76" t="inlineStr">
        <is>
          <t>Accrued &amp; other liabilities ex-leases (% revenue)</t>
        </is>
      </c>
      <c r="D76" t="inlineStr">
        <is>
          <t>pct</t>
        </is>
      </c>
      <c r="E76" t="inlineStr">
        <is>
          <t>history</t>
        </is>
      </c>
      <c r="F76" s="7" t="n">
        <v>0.2088</v>
      </c>
      <c r="G76" s="7" t="n">
        <v>0.2088</v>
      </c>
      <c r="H76" s="7" t="n">
        <v>0.2088</v>
      </c>
      <c r="I76" s="7" t="n">
        <v>0.2088</v>
      </c>
      <c r="J76" s="7" t="n">
        <v>0.2088</v>
      </c>
      <c r="K76" t="b">
        <v>1</v>
      </c>
      <c r="L76" t="inlineStr">
        <is>
          <t>Derived (current accrued + other LT liabilities - operating lease liabilities): FY2024 16.2%; FY2025 20.9%</t>
        </is>
      </c>
      <c r="M76" t="inlineStr">
        <is>
          <t>Held at the FY2025 level (warranty reserves, taxes, capex payables).</t>
        </is>
      </c>
    </row>
    <row r="77">
      <c r="A77" t="inlineStr">
        <is>
          <t>deferred_rev_pct</t>
        </is>
      </c>
      <c r="B77" t="inlineStr">
        <is>
          <t>Working capital</t>
        </is>
      </c>
      <c r="C77" t="inlineStr">
        <is>
          <t>Deferred revenue, current + non-current (% revenue)</t>
        </is>
      </c>
      <c r="D77" t="inlineStr">
        <is>
          <t>pct</t>
        </is>
      </c>
      <c r="E77" t="inlineStr">
        <is>
          <t>history</t>
        </is>
      </c>
      <c r="F77" s="7" t="n">
        <v>0.07439999999999999</v>
      </c>
      <c r="G77" s="7" t="n">
        <v>0.07439999999999999</v>
      </c>
      <c r="H77" s="7" t="n">
        <v>0.07439999999999999</v>
      </c>
      <c r="I77" s="7" t="n">
        <v>0.07439999999999999</v>
      </c>
      <c r="J77" s="7" t="n">
        <v>0.07439999999999999</v>
      </c>
      <c r="K77" t="b">
        <v>1</v>
      </c>
      <c r="L77" t="inlineStr">
        <is>
          <t>Derived: FY2024 6.6%; FY2025 7.4%</t>
        </is>
      </c>
      <c r="M77" t="inlineStr">
        <is>
          <t>Held at the FY2025 level (FSD, connectivity, Supercharging and energy contracts).</t>
        </is>
      </c>
    </row>
    <row r="78">
      <c r="A78" t="inlineStr">
        <is>
          <t>debt_issued</t>
        </is>
      </c>
      <c r="B78" t="inlineStr">
        <is>
          <t>Financing &amp; capital structure</t>
        </is>
      </c>
      <c r="C78" t="inlineStr">
        <is>
          <t>New debt issuance ($M)</t>
        </is>
      </c>
      <c r="D78" t="inlineStr">
        <is>
          <t>usd_m</t>
        </is>
      </c>
      <c r="E78" t="inlineStr">
        <is>
          <t>judgment</t>
        </is>
      </c>
      <c r="F78" s="7" t="n">
        <v>6000</v>
      </c>
      <c r="G78" s="7" t="n">
        <v>3000</v>
      </c>
      <c r="H78" s="7" t="n">
        <v>3000</v>
      </c>
      <c r="I78" s="7" t="n">
        <v>3000</v>
      </c>
      <c r="J78" s="7" t="n">
        <v>3000</v>
      </c>
      <c r="K78" t="b">
        <v>1</v>
      </c>
      <c r="L78" t="inlineStr">
        <is>
          <t>CF history: $3.9B / $5.7B / $5.6B (FY2023-25); H1 2026 $4.7B (10-Q CF)</t>
        </is>
      </c>
      <c r="M78" t="inlineStr">
        <is>
          <t>Tesla's debt is mostly non-recourse auto/energy ABS that is refinanced continuously. FY2026 = H1 actual plus a smaller H2; later years roughly refinance scheduled maturities.</t>
        </is>
      </c>
    </row>
    <row r="79">
      <c r="A79" t="inlineStr">
        <is>
          <t>debt_repaid</t>
        </is>
      </c>
      <c r="B79" t="inlineStr">
        <is>
          <t>Financing &amp; capital structure</t>
        </is>
      </c>
      <c r="C79" t="inlineStr">
        <is>
          <t>Debt repayments ($M)</t>
        </is>
      </c>
      <c r="D79" t="inlineStr">
        <is>
          <t>usd_m</t>
        </is>
      </c>
      <c r="E79" t="inlineStr">
        <is>
          <t>judgment</t>
        </is>
      </c>
      <c r="F79" s="7" t="n">
        <v>5000</v>
      </c>
      <c r="G79" s="7" t="n">
        <v>3000</v>
      </c>
      <c r="H79" s="7" t="n">
        <v>2500</v>
      </c>
      <c r="I79" s="7" t="n">
        <v>5500</v>
      </c>
      <c r="J79" s="7" t="n">
        <v>2500</v>
      </c>
      <c r="K79" t="b">
        <v>1</v>
      </c>
      <c r="L79" t="inlineStr">
        <is>
          <t>10-K Note 9 p.75 scheduled maturities: 2026 $1,576M, 2027 $1,233M, 2028 $649M, 2029 $4,386M, 2030 $89M, thereafter $244M; H1 2026 repaid $3.9B</t>
        </is>
      </c>
      <c r="M79" t="inlineStr">
        <is>
          <t>FY2026 = H1 actual plus H2 scheduled amortisation; later years = scheduled maturities (incl. the 2029 bullet) plus ABS amortisation of new issuance.</t>
        </is>
      </c>
    </row>
    <row r="80">
      <c r="A80" t="inlineStr">
        <is>
          <t>fl_additions</t>
        </is>
      </c>
      <c r="B80" t="inlineStr">
        <is>
          <t>Financing &amp; capital structure</t>
        </is>
      </c>
      <c r="C80" t="inlineStr">
        <is>
          <t>New finance leases ($M, non-cash)</t>
        </is>
      </c>
      <c r="D80" t="inlineStr">
        <is>
          <t>usd_m</t>
        </is>
      </c>
      <c r="E80" t="inlineStr">
        <is>
          <t>judgment</t>
        </is>
      </c>
      <c r="F80" s="7" t="n">
        <v>140</v>
      </c>
      <c r="G80" s="7" t="n">
        <v>80</v>
      </c>
      <c r="H80" s="7" t="n">
        <v>80</v>
      </c>
      <c r="I80" s="7" t="n">
        <v>80</v>
      </c>
      <c r="J80" s="7" t="n">
        <v>80</v>
      </c>
      <c r="K80" t="b">
        <v>1</v>
      </c>
      <c r="L80" t="inlineStr">
        <is>
          <t>Finance lease liability $223M (FY2025) -&gt; $281M (Q2 2026)</t>
        </is>
      </c>
      <c r="M80" t="inlineStr">
        <is>
          <t>Small; set so the finance-lease balance stays roughly stable.</t>
        </is>
      </c>
    </row>
    <row r="81">
      <c r="A81" t="inlineStr">
        <is>
          <t>fl_principal</t>
        </is>
      </c>
      <c r="B81" t="inlineStr">
        <is>
          <t>Financing &amp; capital structure</t>
        </is>
      </c>
      <c r="C81" t="inlineStr">
        <is>
          <t>Finance lease principal payments ($M)</t>
        </is>
      </c>
      <c r="D81" t="inlineStr">
        <is>
          <t>usd_m</t>
        </is>
      </c>
      <c r="E81" t="inlineStr">
        <is>
          <t>history</t>
        </is>
      </c>
      <c r="F81" s="7" t="n">
        <v>80</v>
      </c>
      <c r="G81" s="7" t="n">
        <v>80</v>
      </c>
      <c r="H81" s="7" t="n">
        <v>80</v>
      </c>
      <c r="I81" s="7" t="n">
        <v>80</v>
      </c>
      <c r="J81" s="7" t="n">
        <v>80</v>
      </c>
      <c r="K81" t="b">
        <v>1</v>
      </c>
      <c r="L81" t="inlineStr">
        <is>
          <t>10-K Note 10 finance-lease maturity table: 2026 $80M, 2027 $72M, 2028 $27M, 2029 $22M, 2030 $22M, thereafter $23M</t>
        </is>
      </c>
      <c r="M81" t="inlineStr">
        <is>
          <t>Contractual schedule plus run-off of new leases.</t>
        </is>
      </c>
    </row>
    <row r="82">
      <c r="A82" t="inlineStr">
        <is>
          <t>op_lease_growth</t>
        </is>
      </c>
      <c r="B82" t="inlineStr">
        <is>
          <t>Financing &amp; capital structure</t>
        </is>
      </c>
      <c r="C82" t="inlineStr">
        <is>
          <t>Operating lease liability growth (%, non-cash)</t>
        </is>
      </c>
      <c r="D82" t="inlineStr">
        <is>
          <t>pct</t>
        </is>
      </c>
      <c r="E82" t="inlineStr">
        <is>
          <t>judgment</t>
        </is>
      </c>
      <c r="F82" s="7" t="n">
        <v>0.08</v>
      </c>
      <c r="G82" s="7" t="n">
        <v>0.08</v>
      </c>
      <c r="H82" s="7" t="n">
        <v>0.08</v>
      </c>
      <c r="I82" s="7" t="n">
        <v>0.08</v>
      </c>
      <c r="J82" s="7" t="n">
        <v>0.08</v>
      </c>
      <c r="K82" t="b">
        <v>1</v>
      </c>
      <c r="L82" t="inlineStr">
        <is>
          <t>Operating lease liabilities $5,410M -&gt; $6,343M -&gt; $6,738M (FY2024, FY2025, Q2 2026)</t>
        </is>
      </c>
      <c r="M82" t="inlineStr">
        <is>
          <t>Store, service and Supercharger footprint growth; the ROU asset moves one-for-one, so no cash or equity effect.</t>
        </is>
      </c>
    </row>
    <row r="83">
      <c r="A83" t="inlineStr">
        <is>
          <t>interest_rate_debt</t>
        </is>
      </c>
      <c r="B83" t="inlineStr">
        <is>
          <t>Financing &amp; capital structure</t>
        </is>
      </c>
      <c r="C83" t="inlineStr">
        <is>
          <t>Interest rate on debt &amp; finance leases (% of beginning balance)</t>
        </is>
      </c>
      <c r="D83" t="inlineStr">
        <is>
          <t>pct</t>
        </is>
      </c>
      <c r="E83" t="inlineStr">
        <is>
          <t>history</t>
        </is>
      </c>
      <c r="F83" s="7" t="n">
        <v>0.041</v>
      </c>
      <c r="G83" s="7" t="n">
        <v>0.041</v>
      </c>
      <c r="H83" s="7" t="n">
        <v>0.041</v>
      </c>
      <c r="I83" s="7" t="n">
        <v>0.041</v>
      </c>
      <c r="J83" s="7" t="n">
        <v>0.041</v>
      </c>
      <c r="K83" t="b">
        <v>1</v>
      </c>
      <c r="L83" t="inlineStr">
        <is>
          <t>FY2025 interest expense $338M / average debt &amp; finance leases ~$8.3B = 4.1%</t>
        </is>
      </c>
      <c r="M83" t="inlineStr">
        <is>
          <t>Held at FY2025 effective rate; applied to beginning balances to avoid circularity.</t>
        </is>
      </c>
    </row>
    <row r="84">
      <c r="A84" t="inlineStr">
        <is>
          <t>interest_yield_cash</t>
        </is>
      </c>
      <c r="B84" t="inlineStr">
        <is>
          <t>Financing &amp; capital structure</t>
        </is>
      </c>
      <c r="C84" t="inlineStr">
        <is>
          <t>Interest yield on cash &amp; investments (% of beginning balance)</t>
        </is>
      </c>
      <c r="D84" t="inlineStr">
        <is>
          <t>pct</t>
        </is>
      </c>
      <c r="E84" t="inlineStr">
        <is>
          <t>history</t>
        </is>
      </c>
      <c r="F84" s="7" t="n">
        <v>0.0391</v>
      </c>
      <c r="G84" s="7" t="n">
        <v>0.0391</v>
      </c>
      <c r="H84" s="7" t="n">
        <v>0.0391</v>
      </c>
      <c r="I84" s="7" t="n">
        <v>0.0391</v>
      </c>
      <c r="J84" s="7" t="n">
        <v>0.0391</v>
      </c>
      <c r="K84" t="b">
        <v>1</v>
      </c>
      <c r="L84" t="inlineStr">
        <is>
          <t>Derived: FY2025 4.17%; H1 2026 ann. 3.91%</t>
        </is>
      </c>
      <c r="M84" t="inlineStr">
        <is>
          <t>Held at the H1 2026 annualised yield. Excluded from valuation FCFE (cash is valued separately).</t>
        </is>
      </c>
    </row>
    <row r="85">
      <c r="A85" t="inlineStr">
        <is>
          <t>option_proceeds</t>
        </is>
      </c>
      <c r="B85" t="inlineStr">
        <is>
          <t>Financing &amp; capital structure</t>
        </is>
      </c>
      <c r="C85" t="inlineStr">
        <is>
          <t>Proceeds from option exercises / ESPP ($M)</t>
        </is>
      </c>
      <c r="D85" t="inlineStr">
        <is>
          <t>usd_m</t>
        </is>
      </c>
      <c r="E85" t="inlineStr">
        <is>
          <t>history</t>
        </is>
      </c>
      <c r="F85" s="7" t="n">
        <v>900</v>
      </c>
      <c r="G85" s="7" t="n">
        <v>900</v>
      </c>
      <c r="H85" s="7" t="n">
        <v>900</v>
      </c>
      <c r="I85" s="7" t="n">
        <v>900</v>
      </c>
      <c r="J85" s="7" t="n">
        <v>900</v>
      </c>
      <c r="K85" t="b">
        <v>1</v>
      </c>
      <c r="L85" t="inlineStr">
        <is>
          <t>CF history: $700M / $1,241M / $1,186M (FY2023-25); H1 2026 $468M</t>
        </is>
      </c>
      <c r="M85" t="inlineStr">
        <is>
          <t>Approximately the three-year average.</t>
        </is>
      </c>
    </row>
    <row r="86">
      <c r="A86" t="inlineStr">
        <is>
          <t>share_issuance_pct</t>
        </is>
      </c>
      <c r="B86" t="inlineStr">
        <is>
          <t>Financing &amp; capital structure</t>
        </is>
      </c>
      <c r="C86" t="inlineStr">
        <is>
          <t>Gross share issuance from equity plans (% of beginning diluted shares)</t>
        </is>
      </c>
      <c r="D86" t="inlineStr">
        <is>
          <t>pct</t>
        </is>
      </c>
      <c r="E86" t="inlineStr">
        <is>
          <t>history</t>
        </is>
      </c>
      <c r="F86" s="7" t="n">
        <v>0.006</v>
      </c>
      <c r="G86" s="7" t="n">
        <v>0.006</v>
      </c>
      <c r="H86" s="7" t="n">
        <v>0.006</v>
      </c>
      <c r="I86" s="7" t="n">
        <v>0.006</v>
      </c>
      <c r="J86" s="7" t="n">
        <v>0.006</v>
      </c>
      <c r="K86" t="b">
        <v>1</v>
      </c>
      <c r="L86" t="inlineStr">
        <is>
          <t>Diluted weighted shares 3,485M -&gt; 3,498M -&gt; 3,528M -&gt; 3,540M (FY2023 to Q2 2026)</t>
        </is>
      </c>
      <c r="M86" t="inlineStr">
        <is>
          <t>Average historical net dilution of ~0.6%/yr.</t>
        </is>
      </c>
    </row>
    <row r="87">
      <c r="A87" t="inlineStr">
        <is>
          <t>buybacks</t>
        </is>
      </c>
      <c r="B87" t="inlineStr">
        <is>
          <t>Financing &amp; capital structure</t>
        </is>
      </c>
      <c r="C87" t="inlineStr">
        <is>
          <t>Share repurchases ($M)</t>
        </is>
      </c>
      <c r="D87" t="inlineStr">
        <is>
          <t>usd_m</t>
        </is>
      </c>
      <c r="E87" t="inlineStr">
        <is>
          <t>history</t>
        </is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t="b">
        <v>1</v>
      </c>
      <c r="L87" t="inlineStr">
        <is>
          <t>No repurchases in FY2023-FY2025 or H1 2026 cash-flow statements</t>
        </is>
      </c>
      <c r="M87" t="inlineStr">
        <is>
          <t>No authorised programme is disclosed; kept at zero. Editable to test a buyback policy.</t>
        </is>
      </c>
    </row>
    <row r="88">
      <c r="A88" t="inlineStr">
        <is>
          <t>min_cash_pct</t>
        </is>
      </c>
      <c r="B88" t="inlineStr">
        <is>
          <t>Financing &amp; capital structure</t>
        </is>
      </c>
      <c r="C88" t="inlineStr">
        <is>
          <t>Minimum cash &amp; investments (% of revenue)</t>
        </is>
      </c>
      <c r="D88" t="inlineStr">
        <is>
          <t>pct</t>
        </is>
      </c>
      <c r="E88" t="inlineStr">
        <is>
          <t>judgment</t>
        </is>
      </c>
      <c r="F88" s="7" t="n">
        <v>0.15</v>
      </c>
      <c r="G88" s="7" t="n">
        <v>0.15</v>
      </c>
      <c r="H88" s="7" t="n">
        <v>0.15</v>
      </c>
      <c r="I88" s="7" t="n">
        <v>0.15</v>
      </c>
      <c r="J88" s="7" t="n">
        <v>0.15</v>
      </c>
      <c r="K88" t="b">
        <v>1</v>
      </c>
      <c r="L88" t="inlineStr">
        <is>
          <t>Tesla does not state a minimum; it held $43.5B (86% of H1 2026 annualised revenue) at 2026-06-30</t>
        </is>
      </c>
      <c r="M88" t="inlineStr">
        <is>
          <t>About two months of costs is a prudent operating buffer for a capital-intensive manufacturer. Cash above this level is treated as excess (non-operating) in the valuation.</t>
        </is>
      </c>
    </row>
    <row r="89">
      <c r="A89" t="inlineStr">
        <is>
          <t>nci_income</t>
        </is>
      </c>
      <c r="B89" t="inlineStr">
        <is>
          <t>Tax &amp; other</t>
        </is>
      </c>
      <c r="C89" t="inlineStr">
        <is>
          <t>Net income attributable to NCI ($M)</t>
        </is>
      </c>
      <c r="D89" t="inlineStr">
        <is>
          <t>usd_m</t>
        </is>
      </c>
      <c r="E89" t="inlineStr">
        <is>
          <t>history</t>
        </is>
      </c>
      <c r="F89" s="7" t="n">
        <v>60</v>
      </c>
      <c r="G89" s="7" t="n">
        <v>60</v>
      </c>
      <c r="H89" s="7" t="n">
        <v>60</v>
      </c>
      <c r="I89" s="7" t="n">
        <v>60</v>
      </c>
      <c r="J89" s="7" t="n">
        <v>60</v>
      </c>
      <c r="K89" t="b">
        <v>1</v>
      </c>
      <c r="L89" t="inlineStr">
        <is>
          <t>$62M / $61M (FY2024-25); H1 2026 $28M</t>
        </is>
      </c>
      <c r="M89" t="inlineStr">
        <is>
          <t>Held at recent level.</t>
        </is>
      </c>
    </row>
    <row r="90">
      <c r="A90" t="inlineStr">
        <is>
          <t>nci_distributions</t>
        </is>
      </c>
      <c r="B90" t="inlineStr">
        <is>
          <t>Tax &amp; other</t>
        </is>
      </c>
      <c r="C90" t="inlineStr">
        <is>
          <t>Distributions to NCI ($M)</t>
        </is>
      </c>
      <c r="D90" t="inlineStr">
        <is>
          <t>usd_m</t>
        </is>
      </c>
      <c r="E90" t="inlineStr">
        <is>
          <t>history</t>
        </is>
      </c>
      <c r="F90" s="7" t="n">
        <v>90</v>
      </c>
      <c r="G90" s="7" t="n">
        <v>90</v>
      </c>
      <c r="H90" s="7" t="n">
        <v>90</v>
      </c>
      <c r="I90" s="7" t="n">
        <v>90</v>
      </c>
      <c r="J90" s="7" t="n">
        <v>90</v>
      </c>
      <c r="K90" t="b">
        <v>1</v>
      </c>
      <c r="L90" t="inlineStr">
        <is>
          <t>$144M / $104M / $78M (FY2023-25); H1 2026 $91M</t>
        </is>
      </c>
      <c r="M90" t="inlineStr">
        <is>
          <t>Held near recent level.</t>
        </is>
      </c>
    </row>
    <row r="91">
      <c r="A91" t="inlineStr">
        <is>
          <t>tax_rate</t>
        </is>
      </c>
      <c r="B91" t="inlineStr">
        <is>
          <t>Tax &amp; other</t>
        </is>
      </c>
      <c r="C91" t="inlineStr">
        <is>
          <t>Effective tax rate (%)</t>
        </is>
      </c>
      <c r="D91" t="inlineStr">
        <is>
          <t>pct</t>
        </is>
      </c>
      <c r="E91" t="inlineStr">
        <is>
          <t>judgment</t>
        </is>
      </c>
      <c r="F91" s="7" t="n">
        <v>0.26</v>
      </c>
      <c r="G91" s="7" t="n">
        <v>0.25</v>
      </c>
      <c r="H91" s="7" t="n">
        <v>0.24</v>
      </c>
      <c r="I91" s="7" t="n">
        <v>0.23</v>
      </c>
      <c r="J91" s="7" t="n">
        <v>0.23</v>
      </c>
      <c r="K91" t="b">
        <v>1</v>
      </c>
      <c r="L91" t="inlineStr">
        <is>
          <t>FY2024 20.4%; FY2025 27.0%; H1 2026 22.1% incl. $274M CA valuation-allowance release (10-Q p.23)</t>
        </is>
      </c>
      <c r="M91" t="inlineStr">
        <is>
          <t>Non-deductible 2025 CEO award expense (10-Q p.23) lifts the rate while pre-tax income is small; it converges toward ~23% as profits grow. One-off valuation-allowance releases are excluded.</t>
        </is>
      </c>
    </row>
    <row r="92"/>
    <row r="93">
      <c r="A93" s="1" t="inlineStr">
        <is>
          <t>Operating drivers - Bear scenario</t>
        </is>
      </c>
    </row>
    <row r="94">
      <c r="A94" s="6" t="inlineStr">
        <is>
          <t>Types: history = held at/derived from reported data; guidance = company-stated; judgment = analyst estimate with rationale. Percent drivers are decimals (0.21 = 21%).</t>
        </is>
      </c>
    </row>
    <row r="95">
      <c r="A95" s="3" t="inlineStr">
        <is>
          <t>ID</t>
        </is>
      </c>
      <c r="B95" s="3" t="inlineStr">
        <is>
          <t>Category</t>
        </is>
      </c>
      <c r="C95" s="3" t="inlineStr">
        <is>
          <t>Assumption</t>
        </is>
      </c>
      <c r="D95" s="3" t="inlineStr">
        <is>
          <t>Unit</t>
        </is>
      </c>
      <c r="E95" s="3" t="inlineStr">
        <is>
          <t>Type</t>
        </is>
      </c>
      <c r="F95" s="3" t="inlineStr">
        <is>
          <t>FY2026E</t>
        </is>
      </c>
      <c r="G95" s="3" t="inlineStr">
        <is>
          <t>FY2027E</t>
        </is>
      </c>
      <c r="H95" s="3" t="inlineStr">
        <is>
          <t>FY2028E</t>
        </is>
      </c>
      <c r="I95" s="3" t="inlineStr">
        <is>
          <t>FY2029E</t>
        </is>
      </c>
      <c r="J95" s="3" t="inlineStr">
        <is>
          <t>FY2030E</t>
        </is>
      </c>
      <c r="K95" s="3" t="inlineStr">
        <is>
          <t>Same as base</t>
        </is>
      </c>
      <c r="L95" s="3" t="inlineStr">
        <is>
          <t>Source</t>
        </is>
      </c>
      <c r="M95" s="3" t="inlineStr">
        <is>
          <t>Rationale</t>
        </is>
      </c>
    </row>
    <row r="96">
      <c r="A96" t="inlineStr">
        <is>
          <t>deliveries_3y</t>
        </is>
      </c>
      <c r="B96" t="inlineStr">
        <is>
          <t>Automotive volume &amp; price</t>
        </is>
      </c>
      <c r="C96" t="inlineStr">
        <is>
          <t>Model 3/Y deliveries (thousand units)</t>
        </is>
      </c>
      <c r="D96" t="inlineStr">
        <is>
          <t>k_units</t>
        </is>
      </c>
      <c r="E96" t="inlineStr">
        <is>
          <t>judgment</t>
        </is>
      </c>
      <c r="F96" s="7" t="n">
        <v>1610</v>
      </c>
      <c r="G96" s="7" t="n">
        <v>1620</v>
      </c>
      <c r="H96" s="7" t="n">
        <v>1650</v>
      </c>
      <c r="I96" s="7" t="n">
        <v>1680</v>
      </c>
      <c r="J96" s="7" t="n">
        <v>1710</v>
      </c>
      <c r="K96" t="b">
        <v>0</v>
      </c>
      <c r="L96" t="inlineStr">
        <is>
          <t>8-K Ex. 99.1 delivery releases: FY2025 1,585k; H1 2026 810k</t>
        </is>
      </c>
      <c r="M96" t="inlineStr">
        <is>
          <t>FY2026 = H1 2026 actual (~810k) plus an H2 slightly below H2 2025, which was pulled forward by the Sept-2025 U.S. EV tax-credit expiry. Thereafter low-single-digit growth as the refreshed/standard trims and new markets offset an ageing line-up and intensifying Chinese competition.</t>
        </is>
      </c>
    </row>
    <row r="97">
      <c r="A97" t="inlineStr">
        <is>
          <t>deliveries_other</t>
        </is>
      </c>
      <c r="B97" t="inlineStr">
        <is>
          <t>Automotive volume &amp; price</t>
        </is>
      </c>
      <c r="C97" t="inlineStr">
        <is>
          <t>Other models deliveries incl. Cybercab/Semi (thousand units)</t>
        </is>
      </c>
      <c r="D97" t="inlineStr">
        <is>
          <t>k_units</t>
        </is>
      </c>
      <c r="E97" t="inlineStr">
        <is>
          <t>judgment</t>
        </is>
      </c>
      <c r="F97" s="7" t="n">
        <v>55</v>
      </c>
      <c r="G97" s="7" t="n">
        <v>70</v>
      </c>
      <c r="H97" s="7" t="n">
        <v>100</v>
      </c>
      <c r="I97" s="7" t="n">
        <v>130</v>
      </c>
      <c r="J97" s="7" t="n">
        <v>160</v>
      </c>
      <c r="K97" t="b">
        <v>0</v>
      </c>
      <c r="L97" t="inlineStr">
        <is>
          <t>8-K Ex. 99.1: FY2025 50.9k; H1 2026 28.5k; Cybercab production began H1 2026 (10-Q p.29)</t>
        </is>
      </c>
      <c r="M97" t="inlineStr">
        <is>
          <t>S/X/Cybertruck volumes are small and declining; growth comes from Cybercab and Semi, which Tesla began producing in 2026. The ramp is a judgment - Tesla gives no unit guidance.</t>
        </is>
      </c>
    </row>
    <row r="98">
      <c r="A98" t="inlineStr">
        <is>
          <t>asp_3y</t>
        </is>
      </c>
      <c r="B98" t="inlineStr">
        <is>
          <t>Automotive volume &amp; price</t>
        </is>
      </c>
      <c r="C98" t="inlineStr">
        <is>
          <t>Model 3/Y average selling price ($ thousand)</t>
        </is>
      </c>
      <c r="D98" t="inlineStr">
        <is>
          <t>usd_k</t>
        </is>
      </c>
      <c r="E98" t="inlineStr">
        <is>
          <t>judgment</t>
        </is>
      </c>
      <c r="F98" s="7" t="n">
        <v>40.2</v>
      </c>
      <c r="G98" s="7" t="n">
        <v>39.4</v>
      </c>
      <c r="H98" s="7" t="n">
        <v>38.8</v>
      </c>
      <c r="I98" s="7" t="n">
        <v>38.4</v>
      </c>
      <c r="J98" s="7" t="n">
        <v>38</v>
      </c>
      <c r="K98" t="b">
        <v>0</v>
      </c>
      <c r="L98" t="inlineStr">
        <is>
          <t>Derived: automotive sales / (3Y + 2x other deliveries). FY2025 $39.0k; H1 2026 $40.9k</t>
        </is>
      </c>
      <c r="M98" t="inlineStr">
        <is>
          <t>Tesla does not disclose revenue by model. History is split assuming other models carry ~2x the 3/Y price (list-price relationship). Forecast holds near the H1 2026 level, drifting down ~1%/yr for price competition and mix toward cheaper trims; FSD revenue recognised in automotive sales supports ASP.</t>
        </is>
      </c>
    </row>
    <row r="99">
      <c r="A99" t="inlineStr">
        <is>
          <t>asp_other</t>
        </is>
      </c>
      <c r="B99" t="inlineStr">
        <is>
          <t>Automotive volume &amp; price</t>
        </is>
      </c>
      <c r="C99" t="inlineStr">
        <is>
          <t>Other models ASP ($ thousand)</t>
        </is>
      </c>
      <c r="D99" t="inlineStr">
        <is>
          <t>usd_k</t>
        </is>
      </c>
      <c r="E99" t="inlineStr">
        <is>
          <t>judgment</t>
        </is>
      </c>
      <c r="F99" s="7" t="n">
        <v>78</v>
      </c>
      <c r="G99" s="7" t="n">
        <v>68</v>
      </c>
      <c r="H99" s="7" t="n">
        <v>60</v>
      </c>
      <c r="I99" s="7" t="n">
        <v>55</v>
      </c>
      <c r="J99" s="7" t="n">
        <v>52</v>
      </c>
      <c r="K99" t="b">
        <v>0</v>
      </c>
      <c r="L99" t="inlineStr">
        <is>
          <t>Derived history = 2x 3/Y ASP (FY2025 $78k)</t>
        </is>
      </c>
      <c r="M99" t="inlineStr">
        <is>
          <t>Declines as the mix shifts from S/X/Cybertruck (~$80k+) toward Cybercab, which Tesla has said will be priced far below current models; blended value reaches the high-$40ks by 2030.</t>
        </is>
      </c>
    </row>
    <row r="100">
      <c r="A100" t="inlineStr">
        <is>
          <t>reg_credits</t>
        </is>
      </c>
      <c r="B100" t="inlineStr">
        <is>
          <t>Automotive other revenue</t>
        </is>
      </c>
      <c r="C100" t="inlineStr">
        <is>
          <t>Regulatory credit revenue ($M)</t>
        </is>
      </c>
      <c r="D100" t="inlineStr">
        <is>
          <t>usd_m</t>
        </is>
      </c>
      <c r="E100" t="inlineStr">
        <is>
          <t>judgment</t>
        </is>
      </c>
      <c r="F100" s="7" t="n">
        <v>800</v>
      </c>
      <c r="G100" s="7" t="n">
        <v>300</v>
      </c>
      <c r="H100" s="7" t="n">
        <v>150</v>
      </c>
      <c r="I100" s="7" t="n">
        <v>100</v>
      </c>
      <c r="J100" s="7" t="n">
        <v>50</v>
      </c>
      <c r="K100" t="b">
        <v>0</v>
      </c>
      <c r="L100" t="inlineStr">
        <is>
          <t>10-K FY2025 p.37: $1,993M (-28%); 10-Q Q2 2026 p.31: H1 $526M (-49%); OBBBA restricted credit programs</t>
        </is>
      </c>
      <c r="M100" t="inlineStr">
        <is>
          <t>FY2026 ~ H1 run-rate plus a smaller H2; then continued decline as U.S. programs are curtailed (OBBBA) and other OEMs become self-sufficient in credits. High-margin, so the decline hits profit directly.</t>
        </is>
      </c>
    </row>
    <row r="101">
      <c r="A101" t="inlineStr">
        <is>
          <t>auto_leasing_rev</t>
        </is>
      </c>
      <c r="B101" t="inlineStr">
        <is>
          <t>Automotive other revenue</t>
        </is>
      </c>
      <c r="C101" t="inlineStr">
        <is>
          <t>Automotive leasing revenue ($M)</t>
        </is>
      </c>
      <c r="D101" t="inlineStr">
        <is>
          <t>usd_m</t>
        </is>
      </c>
      <c r="E101" t="inlineStr">
        <is>
          <t>judgment</t>
        </is>
      </c>
      <c r="F101" s="7" t="n">
        <v>1450</v>
      </c>
      <c r="G101" s="7" t="n">
        <v>1350</v>
      </c>
      <c r="H101" s="7" t="n">
        <v>1300</v>
      </c>
      <c r="I101" s="7" t="n">
        <v>1300</v>
      </c>
      <c r="J101" s="7" t="n">
        <v>1300</v>
      </c>
      <c r="K101" t="b">
        <v>1</v>
      </c>
      <c r="L101" t="inlineStr">
        <is>
          <t>FY2025 $1,712M; H1 2026 $745M (10-Q p.31)</t>
        </is>
      </c>
      <c r="M101" t="inlineStr">
        <is>
          <t>Only ~1-2% of deliveries are now subject to operating-lease accounting (8-K Ex. 99.1), so the lease book is running off; revenue stabilises around $1.3B.</t>
        </is>
      </c>
    </row>
    <row r="102">
      <c r="A102" t="inlineStr">
        <is>
          <t>services_growth</t>
        </is>
      </c>
      <c r="B102" t="inlineStr">
        <is>
          <t>Services &amp; autonomy</t>
        </is>
      </c>
      <c r="C102" t="inlineStr">
        <is>
          <t>Services &amp; other revenue growth (%)</t>
        </is>
      </c>
      <c r="D102" t="inlineStr">
        <is>
          <t>pct</t>
        </is>
      </c>
      <c r="E102" t="inlineStr">
        <is>
          <t>judgment</t>
        </is>
      </c>
      <c r="F102" s="7" t="n">
        <v>0.3</v>
      </c>
      <c r="G102" s="7" t="n">
        <v>0.12</v>
      </c>
      <c r="H102" s="7" t="n">
        <v>0.1</v>
      </c>
      <c r="I102" s="7" t="n">
        <v>0.08</v>
      </c>
      <c r="J102" s="7" t="n">
        <v>0.07000000000000001</v>
      </c>
      <c r="K102" t="b">
        <v>0</v>
      </c>
      <c r="L102" t="inlineStr">
        <is>
          <t>FY2025 $12,530M (+19%); H1 2026 +46% YoY (10-Q p.31)</t>
        </is>
      </c>
      <c r="M102" t="inlineStr">
        <is>
          <t>Paid Supercharging, insurance, used vehicles, parts and service scale with Tesla's growing installed fleet. FY2026 reflects the +46% H1 run-rate tapering in H2; growth then fades toward mid-teens.</t>
        </is>
      </c>
    </row>
    <row r="103">
      <c r="A103" t="inlineStr">
        <is>
          <t>autonomy_rev</t>
        </is>
      </c>
      <c r="B103" t="inlineStr">
        <is>
          <t>Services &amp; autonomy</t>
        </is>
      </c>
      <c r="C103" t="inlineStr">
        <is>
          <t>Robotaxi / autonomy network revenue ($M)</t>
        </is>
      </c>
      <c r="D103" t="inlineStr">
        <is>
          <t>usd_m</t>
        </is>
      </c>
      <c r="E103" t="inlineStr">
        <is>
          <t>judgment</t>
        </is>
      </c>
      <c r="F103" s="7" t="n">
        <v>0</v>
      </c>
      <c r="G103" s="7" t="n">
        <v>0</v>
      </c>
      <c r="H103" s="7" t="n">
        <v>300</v>
      </c>
      <c r="I103" s="7" t="n">
        <v>700</v>
      </c>
      <c r="J103" s="7" t="n">
        <v>1200</v>
      </c>
      <c r="K103" t="b">
        <v>0</v>
      </c>
      <c r="L103" t="inlineStr">
        <is>
          <t>No separate disclosure. Robotaxi service launched June 2025; Cybercab production began H1 2026 (10-Q p.28-29)</t>
        </is>
      </c>
      <c r="M103" t="inlineStr">
        <is>
          <t>Tesla does not report robotaxi revenue; any current amount sits in services &amp; other. This line is an explicit, isolated judgment for incremental ride-hailing revenue so its value contribution is visible. Base assumes a gradual multi-city ramp; bear assumes no material commercial scale by 2030.</t>
        </is>
      </c>
    </row>
    <row r="104">
      <c r="A104" t="inlineStr">
        <is>
          <t>gm_autonomy</t>
        </is>
      </c>
      <c r="B104" t="inlineStr">
        <is>
          <t>Services &amp; autonomy</t>
        </is>
      </c>
      <c r="C104" t="inlineStr">
        <is>
          <t>Autonomy revenue cash gross margin (%)</t>
        </is>
      </c>
      <c r="D104" t="inlineStr">
        <is>
          <t>pct</t>
        </is>
      </c>
      <c r="E104" t="inlineStr">
        <is>
          <t>judgment</t>
        </is>
      </c>
      <c r="F104" s="7" t="n">
        <v>0.25</v>
      </c>
      <c r="G104" s="7" t="n">
        <v>0.25</v>
      </c>
      <c r="H104" s="7" t="n">
        <v>0.25</v>
      </c>
      <c r="I104" s="7" t="n">
        <v>0.25</v>
      </c>
      <c r="J104" s="7" t="n">
        <v>0.25</v>
      </c>
      <c r="K104" t="b">
        <v>0</v>
      </c>
      <c r="L104" t="inlineStr">
        <is>
          <t>No disclosure</t>
        </is>
      </c>
      <c r="M104" t="inlineStr">
        <is>
          <t>A company-owned fleet carries vehicle depreciation (captured via capex/D&amp;A), energy, cleaning, insurance and remote-operations costs. A 40% cash gross margin is an assumption, not a Tesla figure.</t>
        </is>
      </c>
    </row>
    <row r="105">
      <c r="A105" t="inlineStr">
        <is>
          <t>storage_gwh</t>
        </is>
      </c>
      <c r="B105" t="inlineStr">
        <is>
          <t>Energy</t>
        </is>
      </c>
      <c r="C105" t="inlineStr">
        <is>
          <t>Energy storage deployed (GWh)</t>
        </is>
      </c>
      <c r="D105" t="inlineStr">
        <is>
          <t>gwh</t>
        </is>
      </c>
      <c r="E105" t="inlineStr">
        <is>
          <t>judgment</t>
        </is>
      </c>
      <c r="F105" s="7" t="n">
        <v>47</v>
      </c>
      <c r="G105" s="7" t="n">
        <v>50</v>
      </c>
      <c r="H105" s="7" t="n">
        <v>54</v>
      </c>
      <c r="I105" s="7" t="n">
        <v>58</v>
      </c>
      <c r="J105" s="7" t="n">
        <v>62</v>
      </c>
      <c r="K105" t="b">
        <v>0</v>
      </c>
      <c r="L105" t="inlineStr">
        <is>
          <t>10-K: 14.7 / 31.4 / 46.7 GWh (FY2023-25); 10-Q p.28: H1 2026 22.3 GWh</t>
        </is>
      </c>
      <c r="M105" t="inlineStr">
        <is>
          <t>Lathrop and Shanghai Megafactories are ramping and a Houston Megafactory is under construction (10-Q p.30). Growth slows from the 2023-25 pace as tariffs weigh on the U.S. business.</t>
        </is>
      </c>
    </row>
    <row r="106">
      <c r="A106" t="inlineStr">
        <is>
          <t>energy_rev_per_gwh</t>
        </is>
      </c>
      <c r="B106" t="inlineStr">
        <is>
          <t>Energy</t>
        </is>
      </c>
      <c r="C106" t="inlineStr">
        <is>
          <t>Energy revenue per GWh deployed ($M/GWh)</t>
        </is>
      </c>
      <c r="D106" t="inlineStr">
        <is>
          <t>usd_m_per_gwh</t>
        </is>
      </c>
      <c r="E106" t="inlineStr">
        <is>
          <t>judgment</t>
        </is>
      </c>
      <c r="F106" s="7" t="n">
        <v>240</v>
      </c>
      <c r="G106" s="7" t="n">
        <v>228</v>
      </c>
      <c r="H106" s="7" t="n">
        <v>216</v>
      </c>
      <c r="I106" s="7" t="n">
        <v>205</v>
      </c>
      <c r="J106" s="7" t="n">
        <v>195</v>
      </c>
      <c r="K106" t="b">
        <v>0</v>
      </c>
      <c r="L106" t="inlineStr">
        <is>
          <t>Derived: FY2025 $273M; H1 2026 $249M (includes solar &amp; services)</t>
        </is>
      </c>
      <c r="M106" t="inlineStr">
        <is>
          <t>Megapack ASPs are falling (10-K p.38 cites lower Megapack ASP) as cell costs fall and competition rises; the ratio drifts down ~2-3% per year from the H1 2026 level.</t>
        </is>
      </c>
    </row>
    <row r="107">
      <c r="A107" t="inlineStr">
        <is>
          <t>gm_auto_sales</t>
        </is>
      </c>
      <c r="B107" t="inlineStr">
        <is>
          <t>Margins</t>
        </is>
      </c>
      <c r="C107" t="inlineStr">
        <is>
          <t>Automotive sales cash gross margin, ex-D&amp;A (%)</t>
        </is>
      </c>
      <c r="D107" t="inlineStr">
        <is>
          <t>pct</t>
        </is>
      </c>
      <c r="E107" t="inlineStr">
        <is>
          <t>judgment</t>
        </is>
      </c>
      <c r="F107" s="7" t="n">
        <v>0.2</v>
      </c>
      <c r="G107" s="7" t="n">
        <v>0.195</v>
      </c>
      <c r="H107" s="7" t="n">
        <v>0.19</v>
      </c>
      <c r="I107" s="7" t="n">
        <v>0.19</v>
      </c>
      <c r="J107" s="7" t="n">
        <v>0.19</v>
      </c>
      <c r="K107" t="b">
        <v>0</v>
      </c>
      <c r="L107" t="inlineStr">
        <is>
          <t>Derived from 10-K/10-Q with segment D&amp;A (Note 16): FY2025 19.2%; H1 2026 21.2%; GAAP FY2025 14.5%</t>
        </is>
      </c>
      <c r="M107" t="inlineStr">
        <is>
          <t>Margins are modelled before D&amp;A so capex and depreciation flow through explicitly. Base holds near the H1 2026 level, with modest improvement from cost-down and own-cell/cathode ramps offset by tariffs.</t>
        </is>
      </c>
    </row>
    <row r="108">
      <c r="A108" t="inlineStr">
        <is>
          <t>gm_leasing</t>
        </is>
      </c>
      <c r="B108" t="inlineStr">
        <is>
          <t>Margins</t>
        </is>
      </c>
      <c r="C108" t="inlineStr">
        <is>
          <t>Automotive leasing cash gross margin (%)</t>
        </is>
      </c>
      <c r="D108" t="inlineStr">
        <is>
          <t>pct</t>
        </is>
      </c>
      <c r="E108" t="inlineStr">
        <is>
          <t>history</t>
        </is>
      </c>
      <c r="F108" s="7" t="n">
        <v>0.5</v>
      </c>
      <c r="G108" s="7" t="n">
        <v>0.5</v>
      </c>
      <c r="H108" s="7" t="n">
        <v>0.5</v>
      </c>
      <c r="I108" s="7" t="n">
        <v>0.5</v>
      </c>
      <c r="J108" s="7" t="n">
        <v>0.5</v>
      </c>
      <c r="K108" t="b">
        <v>1</v>
      </c>
      <c r="L108" t="inlineStr">
        <is>
          <t>Derived: FY2025 50.4%; H1 2026 51.3%</t>
        </is>
      </c>
      <c r="M108" t="inlineStr">
        <is>
          <t>Held at the FY2025/H1 2026 level.</t>
        </is>
      </c>
    </row>
    <row r="109">
      <c r="A109" t="inlineStr">
        <is>
          <t>gm_services</t>
        </is>
      </c>
      <c r="B109" t="inlineStr">
        <is>
          <t>Margins</t>
        </is>
      </c>
      <c r="C109" t="inlineStr">
        <is>
          <t>Services &amp; other cash gross margin (%)</t>
        </is>
      </c>
      <c r="D109" t="inlineStr">
        <is>
          <t>pct</t>
        </is>
      </c>
      <c r="E109" t="inlineStr">
        <is>
          <t>judgment</t>
        </is>
      </c>
      <c r="F109" s="7" t="n">
        <v>0.15</v>
      </c>
      <c r="G109" s="7" t="n">
        <v>0.14</v>
      </c>
      <c r="H109" s="7" t="n">
        <v>0.14</v>
      </c>
      <c r="I109" s="7" t="n">
        <v>0.14</v>
      </c>
      <c r="J109" s="7" t="n">
        <v>0.14</v>
      </c>
      <c r="K109" t="b">
        <v>0</v>
      </c>
      <c r="L109" t="inlineStr">
        <is>
          <t>Derived: FY2025 12.5%; H1 2026 16.5%</t>
        </is>
      </c>
      <c r="M109" t="inlineStr">
        <is>
          <t>Operating leverage in Supercharging and service as the fleet grows; H1 2026 already showed a step-up.</t>
        </is>
      </c>
    </row>
    <row r="110">
      <c r="A110" t="inlineStr">
        <is>
          <t>gm_energy</t>
        </is>
      </c>
      <c r="B110" t="inlineStr">
        <is>
          <t>Margins</t>
        </is>
      </c>
      <c r="C110" t="inlineStr">
        <is>
          <t>Energy cash gross margin, ex-D&amp;A (%)</t>
        </is>
      </c>
      <c r="D110" t="inlineStr">
        <is>
          <t>pct</t>
        </is>
      </c>
      <c r="E110" t="inlineStr">
        <is>
          <t>judgment</t>
        </is>
      </c>
      <c r="F110" s="7" t="n">
        <v>0.27</v>
      </c>
      <c r="G110" s="7" t="n">
        <v>0.25</v>
      </c>
      <c r="H110" s="7" t="n">
        <v>0.24</v>
      </c>
      <c r="I110" s="7" t="n">
        <v>0.24</v>
      </c>
      <c r="J110" s="7" t="n">
        <v>0.24</v>
      </c>
      <c r="K110" t="b">
        <v>0</v>
      </c>
      <c r="L110" t="inlineStr">
        <is>
          <t>Derived: FY2025 32.6%; H1 2026 32.2% (GAAP Q2 2026 fell to 20.4% on tariffs, 10-Q p.32)</t>
        </is>
      </c>
      <c r="M110" t="inlineStr">
        <is>
          <t>Below the FY2025 level because the 10-Q flags tariffs weighing more heavily on energy than autos; partially offset by manufacturing credits and Shanghai Megafactory scale.</t>
        </is>
      </c>
    </row>
    <row r="111">
      <c r="A111" t="inlineStr">
        <is>
          <t>rd_pct</t>
        </is>
      </c>
      <c r="B111" t="inlineStr">
        <is>
          <t>Operating expenses</t>
        </is>
      </c>
      <c r="C111" t="inlineStr">
        <is>
          <t>R&amp;D ex-D&amp;A (% of revenue)</t>
        </is>
      </c>
      <c r="D111" t="inlineStr">
        <is>
          <t>pct</t>
        </is>
      </c>
      <c r="E111" t="inlineStr">
        <is>
          <t>judgment</t>
        </is>
      </c>
      <c r="F111" s="7" t="n">
        <v>0.074</v>
      </c>
      <c r="G111" s="7" t="n">
        <v>0.07199999999999999</v>
      </c>
      <c r="H111" s="7" t="n">
        <v>0.07000000000000001</v>
      </c>
      <c r="I111" s="7" t="n">
        <v>0.068</v>
      </c>
      <c r="J111" s="7" t="n">
        <v>0.066</v>
      </c>
      <c r="K111" t="b">
        <v>1</v>
      </c>
      <c r="L111" t="inlineStr">
        <is>
          <t>Derived: FY2025 5.6%; H1 2026 7.4%</t>
        </is>
      </c>
      <c r="M111" t="inlineStr">
        <is>
          <t>AI training, Optimus and Cybercab keep R&amp;D elevated at the H1 2026 intensity, easing slightly as revenue grows. Bear keeps the base ratios (management trims spend as growth stalls); recession shows a temporary spike as revenue falls faster than costs.</t>
        </is>
      </c>
    </row>
    <row r="112">
      <c r="A112" t="inlineStr">
        <is>
          <t>sga_pct</t>
        </is>
      </c>
      <c r="B112" t="inlineStr">
        <is>
          <t>Operating expenses</t>
        </is>
      </c>
      <c r="C112" t="inlineStr">
        <is>
          <t>SG&amp;A ex-D&amp;A (% of revenue)</t>
        </is>
      </c>
      <c r="D112" t="inlineStr">
        <is>
          <t>pct</t>
        </is>
      </c>
      <c r="E112" t="inlineStr">
        <is>
          <t>judgment</t>
        </is>
      </c>
      <c r="F112" s="7" t="n">
        <v>0.064</v>
      </c>
      <c r="G112" s="7" t="n">
        <v>0.062</v>
      </c>
      <c r="H112" s="7" t="n">
        <v>0.06</v>
      </c>
      <c r="I112" s="7" t="n">
        <v>0.058</v>
      </c>
      <c r="J112" s="7" t="n">
        <v>0.056</v>
      </c>
      <c r="K112" t="b">
        <v>1</v>
      </c>
      <c r="L112" t="inlineStr">
        <is>
          <t>Derived: FY2025 5.1%; H1 2026 6.5% (includes 2025 CEO award SBC, 10-Q p.33)</t>
        </is>
      </c>
      <c r="M112" t="inlineStr">
        <is>
          <t>Held near the H1 2026 ratio, which includes ~$1.1B/yr of 2025 CEO Performance Award expense; modest leverage thereafter. Bear keeps the base ratios; recession shows a temporary spike as revenue falls faster than costs.</t>
        </is>
      </c>
    </row>
    <row r="113">
      <c r="A113" t="inlineStr">
        <is>
          <t>sbc_pct</t>
        </is>
      </c>
      <c r="B113" t="inlineStr">
        <is>
          <t>Operating expenses</t>
        </is>
      </c>
      <c r="C113" t="inlineStr">
        <is>
          <t>Stock-based compensation (% of revenue, non-cash, within costs)</t>
        </is>
      </c>
      <c r="D113" t="inlineStr">
        <is>
          <t>pct</t>
        </is>
      </c>
      <c r="E113" t="inlineStr">
        <is>
          <t>judgment</t>
        </is>
      </c>
      <c r="F113" s="7" t="n">
        <v>0.042</v>
      </c>
      <c r="G113" s="7" t="n">
        <v>0.04</v>
      </c>
      <c r="H113" s="7" t="n">
        <v>0.038</v>
      </c>
      <c r="I113" s="7" t="n">
        <v>0.036</v>
      </c>
      <c r="J113" s="7" t="n">
        <v>0.034</v>
      </c>
      <c r="K113" t="b">
        <v>1</v>
      </c>
      <c r="L113" t="inlineStr">
        <is>
          <t>CF statement: FY2025 3.0%; H1 2026 4.3%; $9.82B unrecognised CEO award cost over 9.2 yrs (10-Q p.21)</t>
        </is>
      </c>
      <c r="M113" t="inlineStr">
        <is>
          <t>SBC is already inside the cost ratios above; this line only sizes the non-cash add-back and APIC build. Declines as a share of revenue while CEO award expense stays roughly flat in dollars.</t>
        </is>
      </c>
    </row>
    <row r="114">
      <c r="A114" t="inlineStr">
        <is>
          <t>da_rate</t>
        </is>
      </c>
      <c r="B114" t="inlineStr">
        <is>
          <t>D&amp;A &amp; capex</t>
        </is>
      </c>
      <c r="C114" t="inlineStr">
        <is>
          <t>D&amp;A (% of beginning net fixed assets)</t>
        </is>
      </c>
      <c r="D114" t="inlineStr">
        <is>
          <t>pct</t>
        </is>
      </c>
      <c r="E114" t="inlineStr">
        <is>
          <t>history</t>
        </is>
      </c>
      <c r="F114" s="7" t="n">
        <v>0.13</v>
      </c>
      <c r="G114" s="7" t="n">
        <v>0.13</v>
      </c>
      <c r="H114" s="7" t="n">
        <v>0.13</v>
      </c>
      <c r="I114" s="7" t="n">
        <v>0.13</v>
      </c>
      <c r="J114" s="7" t="n">
        <v>0.13</v>
      </c>
      <c r="K114" t="b">
        <v>1</v>
      </c>
      <c r="L114" t="inlineStr">
        <is>
          <t>Derived: FY2024 13.1%; FY2025 13.3%; H1 2026 ann. 12.8%</t>
        </is>
      </c>
      <c r="M114" t="inlineStr">
        <is>
          <t>Held at the three-period average. Net fixed assets = PP&amp;E + operating-lease vehicles + energy systems.</t>
        </is>
      </c>
    </row>
    <row r="115">
      <c r="A115" t="inlineStr">
        <is>
          <t>da_cogs_share</t>
        </is>
      </c>
      <c r="B115" t="inlineStr">
        <is>
          <t>D&amp;A &amp; capex</t>
        </is>
      </c>
      <c r="C115" t="inlineStr">
        <is>
          <t>Share of D&amp;A recorded in cost of revenues (%)</t>
        </is>
      </c>
      <c r="D115" t="inlineStr">
        <is>
          <t>pct</t>
        </is>
      </c>
      <c r="E115" t="inlineStr">
        <is>
          <t>history</t>
        </is>
      </c>
      <c r="F115" s="7" t="n">
        <v>0.67</v>
      </c>
      <c r="G115" s="7" t="n">
        <v>0.67</v>
      </c>
      <c r="H115" s="7" t="n">
        <v>0.67</v>
      </c>
      <c r="I115" s="7" t="n">
        <v>0.67</v>
      </c>
      <c r="J115" s="7" t="n">
        <v>0.67</v>
      </c>
      <c r="K115" t="b">
        <v>1</v>
      </c>
      <c r="L115" t="inlineStr">
        <is>
          <t>Segment note D&amp;A in COGS / total D&amp;A: FY2025 67%; H1 2026 66%</t>
        </is>
      </c>
      <c r="M115" t="inlineStr">
        <is>
          <t>Presentation only (splits D&amp;A between gross profit and opex); no effect on EBIT or cash flow.</t>
        </is>
      </c>
    </row>
    <row r="116">
      <c r="A116" t="inlineStr">
        <is>
          <t>capex</t>
        </is>
      </c>
      <c r="B116" t="inlineStr">
        <is>
          <t>D&amp;A &amp; capex</t>
        </is>
      </c>
      <c r="C116" t="inlineStr">
        <is>
          <t>Capital expenditures ($M)</t>
        </is>
      </c>
      <c r="D116" t="inlineStr">
        <is>
          <t>usd_m</t>
        </is>
      </c>
      <c r="E116" t="inlineStr">
        <is>
          <t>guidance</t>
        </is>
      </c>
      <c r="F116" s="7" t="n">
        <v>25000</v>
      </c>
      <c r="G116" s="7" t="n">
        <v>16000</v>
      </c>
      <c r="H116" s="7" t="n">
        <v>12000</v>
      </c>
      <c r="I116" s="7" t="n">
        <v>11000</v>
      </c>
      <c r="J116" s="7" t="n">
        <v>10500</v>
      </c>
      <c r="K116" t="b">
        <v>0</v>
      </c>
      <c r="L116" t="inlineStr">
        <is>
          <t>10-Q Q2 2026 p.35: 2026 capex 'in excess of $25 billion'; H1 2026 actual $8,282M</t>
        </is>
      </c>
      <c r="M116" t="inlineStr">
        <is>
          <t>FY2026 = guidance floor. 2027-30 are judgment: AI compute, Cybercab/Optimus lines and cell factories keep spend elevated before easing toward ~1.2x D&amp;A. Bear and recession cases assume Tesla slows projects as cash generation weakens, which the 10-Q (Liquidity section) says it can do; without that cut the bear case breaches the minimum-cash rule even with the revolver fully drawn.</t>
        </is>
      </c>
    </row>
    <row r="117">
      <c r="A117" t="inlineStr">
        <is>
          <t>strategic_investment</t>
        </is>
      </c>
      <c r="B117" t="inlineStr">
        <is>
          <t>D&amp;A &amp; capex</t>
        </is>
      </c>
      <c r="C117" t="inlineStr">
        <is>
          <t>Strategic equity investments ($M, non-operating)</t>
        </is>
      </c>
      <c r="D117" t="inlineStr">
        <is>
          <t>usd_m</t>
        </is>
      </c>
      <c r="E117" t="inlineStr">
        <is>
          <t>history</t>
        </is>
      </c>
      <c r="F117" s="7" t="n">
        <v>2002</v>
      </c>
      <c r="G117" s="7" t="n">
        <v>0</v>
      </c>
      <c r="H117" s="7" t="n">
        <v>0</v>
      </c>
      <c r="I117" s="7" t="n">
        <v>0</v>
      </c>
      <c r="J117" s="7" t="n">
        <v>0</v>
      </c>
      <c r="K117" t="b">
        <v>1</v>
      </c>
      <c r="L117" t="inlineStr">
        <is>
          <t>10-Q CF p.8-9: purchase of SpaceX equity investment $2,002M in H1 2026</t>
        </is>
      </c>
      <c r="M117" t="inlineStr">
        <is>
          <t>H1 2026 actual; no further investments assumed. Excluded from FCFE and valued separately at carrying value.</t>
        </is>
      </c>
    </row>
    <row r="118">
      <c r="A118" t="inlineStr">
        <is>
          <t>dso</t>
        </is>
      </c>
      <c r="B118" t="inlineStr">
        <is>
          <t>Working capital</t>
        </is>
      </c>
      <c r="C118" t="inlineStr">
        <is>
          <t>Receivable days (DSO, on revenue)</t>
        </is>
      </c>
      <c r="D118" t="inlineStr">
        <is>
          <t>days</t>
        </is>
      </c>
      <c r="E118" t="inlineStr">
        <is>
          <t>history</t>
        </is>
      </c>
      <c r="F118" s="7" t="n">
        <v>17.6</v>
      </c>
      <c r="G118" s="7" t="n">
        <v>17.6</v>
      </c>
      <c r="H118" s="7" t="n">
        <v>17.6</v>
      </c>
      <c r="I118" s="7" t="n">
        <v>17.6</v>
      </c>
      <c r="J118" s="7" t="n">
        <v>17.6</v>
      </c>
      <c r="K118" t="b">
        <v>1</v>
      </c>
      <c r="L118" t="inlineStr">
        <is>
          <t>Derived: FY2023 13.2; FY2024 16.5; FY2025 17.6</t>
        </is>
      </c>
      <c r="M118" t="inlineStr">
        <is>
          <t>Held at the FY2025 level.</t>
        </is>
      </c>
    </row>
    <row r="119">
      <c r="A119" t="inlineStr">
        <is>
          <t>dio</t>
        </is>
      </c>
      <c r="B119" t="inlineStr">
        <is>
          <t>Working capital</t>
        </is>
      </c>
      <c r="C119" t="inlineStr">
        <is>
          <t>Inventory days (DIO, on cost of revenues)</t>
        </is>
      </c>
      <c r="D119" t="inlineStr">
        <is>
          <t>days</t>
        </is>
      </c>
      <c r="E119" t="inlineStr">
        <is>
          <t>history</t>
        </is>
      </c>
      <c r="F119" s="7" t="n">
        <v>58.2</v>
      </c>
      <c r="G119" s="7" t="n">
        <v>58.2</v>
      </c>
      <c r="H119" s="7" t="n">
        <v>58.2</v>
      </c>
      <c r="I119" s="7" t="n">
        <v>58.2</v>
      </c>
      <c r="J119" s="7" t="n">
        <v>58.2</v>
      </c>
      <c r="K119" t="b">
        <v>1</v>
      </c>
      <c r="L119" t="inlineStr">
        <is>
          <t>Derived: FY2023 62.9; FY2024 54.7; FY2025 58.2</t>
        </is>
      </c>
      <c r="M119" t="inlineStr">
        <is>
          <t>Held at the FY2025 level; recession case assumes an inventory build.</t>
        </is>
      </c>
    </row>
    <row r="120">
      <c r="A120" t="inlineStr">
        <is>
          <t>dpo</t>
        </is>
      </c>
      <c r="B120" t="inlineStr">
        <is>
          <t>Working capital</t>
        </is>
      </c>
      <c r="C120" t="inlineStr">
        <is>
          <t>Payable days (DPO, on cost of revenues)</t>
        </is>
      </c>
      <c r="D120" t="inlineStr">
        <is>
          <t>days</t>
        </is>
      </c>
      <c r="E120" t="inlineStr">
        <is>
          <t>history</t>
        </is>
      </c>
      <c r="F120" s="7" t="n">
        <v>62.8</v>
      </c>
      <c r="G120" s="7" t="n">
        <v>62.8</v>
      </c>
      <c r="H120" s="7" t="n">
        <v>62.8</v>
      </c>
      <c r="I120" s="7" t="n">
        <v>62.8</v>
      </c>
      <c r="J120" s="7" t="n">
        <v>62.8</v>
      </c>
      <c r="K120" t="b">
        <v>1</v>
      </c>
      <c r="L120" t="inlineStr">
        <is>
          <t>Derived: FY2023 66.6; FY2024 56.7; FY2025 62.8</t>
        </is>
      </c>
      <c r="M120" t="inlineStr">
        <is>
          <t>Held at the FY2025 level.</t>
        </is>
      </c>
    </row>
    <row r="121">
      <c r="A121" t="inlineStr">
        <is>
          <t>prepaid_pct</t>
        </is>
      </c>
      <c r="B121" t="inlineStr">
        <is>
          <t>Working capital</t>
        </is>
      </c>
      <c r="C121" t="inlineStr">
        <is>
          <t>Prepaid &amp; other current assets (% revenue)</t>
        </is>
      </c>
      <c r="D121" t="inlineStr">
        <is>
          <t>pct</t>
        </is>
      </c>
      <c r="E121" t="inlineStr">
        <is>
          <t>history</t>
        </is>
      </c>
      <c r="F121" s="7" t="n">
        <v>0.0803</v>
      </c>
      <c r="G121" s="7" t="n">
        <v>0.0803</v>
      </c>
      <c r="H121" s="7" t="n">
        <v>0.0803</v>
      </c>
      <c r="I121" s="7" t="n">
        <v>0.0803</v>
      </c>
      <c r="J121" s="7" t="n">
        <v>0.0803</v>
      </c>
      <c r="K121" t="b">
        <v>1</v>
      </c>
      <c r="L121" t="inlineStr">
        <is>
          <t>Derived: FY2024 5.5%; FY2025 8.0%</t>
        </is>
      </c>
      <c r="M121" t="inlineStr">
        <is>
          <t>Held at the FY2025 level.</t>
        </is>
      </c>
    </row>
    <row r="122">
      <c r="A122" t="inlineStr">
        <is>
          <t>accrued_pct</t>
        </is>
      </c>
      <c r="B122" t="inlineStr">
        <is>
          <t>Working capital</t>
        </is>
      </c>
      <c r="C122" t="inlineStr">
        <is>
          <t>Accrued &amp; other liabilities ex-leases (% revenue)</t>
        </is>
      </c>
      <c r="D122" t="inlineStr">
        <is>
          <t>pct</t>
        </is>
      </c>
      <c r="E122" t="inlineStr">
        <is>
          <t>history</t>
        </is>
      </c>
      <c r="F122" s="7" t="n">
        <v>0.2088</v>
      </c>
      <c r="G122" s="7" t="n">
        <v>0.2088</v>
      </c>
      <c r="H122" s="7" t="n">
        <v>0.2088</v>
      </c>
      <c r="I122" s="7" t="n">
        <v>0.2088</v>
      </c>
      <c r="J122" s="7" t="n">
        <v>0.2088</v>
      </c>
      <c r="K122" t="b">
        <v>1</v>
      </c>
      <c r="L122" t="inlineStr">
        <is>
          <t>Derived (current accrued + other LT liabilities - operating lease liabilities): FY2024 16.2%; FY2025 20.9%</t>
        </is>
      </c>
      <c r="M122" t="inlineStr">
        <is>
          <t>Held at the FY2025 level (warranty reserves, taxes, capex payables).</t>
        </is>
      </c>
    </row>
    <row r="123">
      <c r="A123" t="inlineStr">
        <is>
          <t>deferred_rev_pct</t>
        </is>
      </c>
      <c r="B123" t="inlineStr">
        <is>
          <t>Working capital</t>
        </is>
      </c>
      <c r="C123" t="inlineStr">
        <is>
          <t>Deferred revenue, current + non-current (% revenue)</t>
        </is>
      </c>
      <c r="D123" t="inlineStr">
        <is>
          <t>pct</t>
        </is>
      </c>
      <c r="E123" t="inlineStr">
        <is>
          <t>history</t>
        </is>
      </c>
      <c r="F123" s="7" t="n">
        <v>0.07439999999999999</v>
      </c>
      <c r="G123" s="7" t="n">
        <v>0.07439999999999999</v>
      </c>
      <c r="H123" s="7" t="n">
        <v>0.07439999999999999</v>
      </c>
      <c r="I123" s="7" t="n">
        <v>0.07439999999999999</v>
      </c>
      <c r="J123" s="7" t="n">
        <v>0.07439999999999999</v>
      </c>
      <c r="K123" t="b">
        <v>1</v>
      </c>
      <c r="L123" t="inlineStr">
        <is>
          <t>Derived: FY2024 6.6%; FY2025 7.4%</t>
        </is>
      </c>
      <c r="M123" t="inlineStr">
        <is>
          <t>Held at the FY2025 level (FSD, connectivity, Supercharging and energy contracts).</t>
        </is>
      </c>
    </row>
    <row r="124">
      <c r="A124" t="inlineStr">
        <is>
          <t>debt_issued</t>
        </is>
      </c>
      <c r="B124" t="inlineStr">
        <is>
          <t>Financing &amp; capital structure</t>
        </is>
      </c>
      <c r="C124" t="inlineStr">
        <is>
          <t>New debt issuance ($M)</t>
        </is>
      </c>
      <c r="D124" t="inlineStr">
        <is>
          <t>usd_m</t>
        </is>
      </c>
      <c r="E124" t="inlineStr">
        <is>
          <t>judgment</t>
        </is>
      </c>
      <c r="F124" s="7" t="n">
        <v>6000</v>
      </c>
      <c r="G124" s="7" t="n">
        <v>3000</v>
      </c>
      <c r="H124" s="7" t="n">
        <v>3000</v>
      </c>
      <c r="I124" s="7" t="n">
        <v>3000</v>
      </c>
      <c r="J124" s="7" t="n">
        <v>3000</v>
      </c>
      <c r="K124" t="b">
        <v>1</v>
      </c>
      <c r="L124" t="inlineStr">
        <is>
          <t>CF history: $3.9B / $5.7B / $5.6B (FY2023-25); H1 2026 $4.7B (10-Q CF)</t>
        </is>
      </c>
      <c r="M124" t="inlineStr">
        <is>
          <t>Tesla's debt is mostly non-recourse auto/energy ABS that is refinanced continuously. FY2026 = H1 actual plus a smaller H2; later years roughly refinance scheduled maturities.</t>
        </is>
      </c>
    </row>
    <row r="125">
      <c r="A125" t="inlineStr">
        <is>
          <t>debt_repaid</t>
        </is>
      </c>
      <c r="B125" t="inlineStr">
        <is>
          <t>Financing &amp; capital structure</t>
        </is>
      </c>
      <c r="C125" t="inlineStr">
        <is>
          <t>Debt repayments ($M)</t>
        </is>
      </c>
      <c r="D125" t="inlineStr">
        <is>
          <t>usd_m</t>
        </is>
      </c>
      <c r="E125" t="inlineStr">
        <is>
          <t>judgment</t>
        </is>
      </c>
      <c r="F125" s="7" t="n">
        <v>5000</v>
      </c>
      <c r="G125" s="7" t="n">
        <v>3000</v>
      </c>
      <c r="H125" s="7" t="n">
        <v>2500</v>
      </c>
      <c r="I125" s="7" t="n">
        <v>5500</v>
      </c>
      <c r="J125" s="7" t="n">
        <v>2500</v>
      </c>
      <c r="K125" t="b">
        <v>1</v>
      </c>
      <c r="L125" t="inlineStr">
        <is>
          <t>10-K Note 9 p.75 scheduled maturities: 2026 $1,576M, 2027 $1,233M, 2028 $649M, 2029 $4,386M, 2030 $89M, thereafter $244M; H1 2026 repaid $3.9B</t>
        </is>
      </c>
      <c r="M125" t="inlineStr">
        <is>
          <t>FY2026 = H1 actual plus H2 scheduled amortisation; later years = scheduled maturities (incl. the 2029 bullet) plus ABS amortisation of new issuance.</t>
        </is>
      </c>
    </row>
    <row r="126">
      <c r="A126" t="inlineStr">
        <is>
          <t>fl_additions</t>
        </is>
      </c>
      <c r="B126" t="inlineStr">
        <is>
          <t>Financing &amp; capital structure</t>
        </is>
      </c>
      <c r="C126" t="inlineStr">
        <is>
          <t>New finance leases ($M, non-cash)</t>
        </is>
      </c>
      <c r="D126" t="inlineStr">
        <is>
          <t>usd_m</t>
        </is>
      </c>
      <c r="E126" t="inlineStr">
        <is>
          <t>judgment</t>
        </is>
      </c>
      <c r="F126" s="7" t="n">
        <v>140</v>
      </c>
      <c r="G126" s="7" t="n">
        <v>80</v>
      </c>
      <c r="H126" s="7" t="n">
        <v>80</v>
      </c>
      <c r="I126" s="7" t="n">
        <v>80</v>
      </c>
      <c r="J126" s="7" t="n">
        <v>80</v>
      </c>
      <c r="K126" t="b">
        <v>1</v>
      </c>
      <c r="L126" t="inlineStr">
        <is>
          <t>Finance lease liability $223M (FY2025) -&gt; $281M (Q2 2026)</t>
        </is>
      </c>
      <c r="M126" t="inlineStr">
        <is>
          <t>Small; set so the finance-lease balance stays roughly stable.</t>
        </is>
      </c>
    </row>
    <row r="127">
      <c r="A127" t="inlineStr">
        <is>
          <t>fl_principal</t>
        </is>
      </c>
      <c r="B127" t="inlineStr">
        <is>
          <t>Financing &amp; capital structure</t>
        </is>
      </c>
      <c r="C127" t="inlineStr">
        <is>
          <t>Finance lease principal payments ($M)</t>
        </is>
      </c>
      <c r="D127" t="inlineStr">
        <is>
          <t>usd_m</t>
        </is>
      </c>
      <c r="E127" t="inlineStr">
        <is>
          <t>history</t>
        </is>
      </c>
      <c r="F127" s="7" t="n">
        <v>80</v>
      </c>
      <c r="G127" s="7" t="n">
        <v>80</v>
      </c>
      <c r="H127" s="7" t="n">
        <v>80</v>
      </c>
      <c r="I127" s="7" t="n">
        <v>80</v>
      </c>
      <c r="J127" s="7" t="n">
        <v>80</v>
      </c>
      <c r="K127" t="b">
        <v>1</v>
      </c>
      <c r="L127" t="inlineStr">
        <is>
          <t>10-K Note 10 finance-lease maturity table: 2026 $80M, 2027 $72M, 2028 $27M, 2029 $22M, 2030 $22M, thereafter $23M</t>
        </is>
      </c>
      <c r="M127" t="inlineStr">
        <is>
          <t>Contractual schedule plus run-off of new leases.</t>
        </is>
      </c>
    </row>
    <row r="128">
      <c r="A128" t="inlineStr">
        <is>
          <t>op_lease_growth</t>
        </is>
      </c>
      <c r="B128" t="inlineStr">
        <is>
          <t>Financing &amp; capital structure</t>
        </is>
      </c>
      <c r="C128" t="inlineStr">
        <is>
          <t>Operating lease liability growth (%, non-cash)</t>
        </is>
      </c>
      <c r="D128" t="inlineStr">
        <is>
          <t>pct</t>
        </is>
      </c>
      <c r="E128" t="inlineStr">
        <is>
          <t>judgment</t>
        </is>
      </c>
      <c r="F128" s="7" t="n">
        <v>0.08</v>
      </c>
      <c r="G128" s="7" t="n">
        <v>0.08</v>
      </c>
      <c r="H128" s="7" t="n">
        <v>0.08</v>
      </c>
      <c r="I128" s="7" t="n">
        <v>0.08</v>
      </c>
      <c r="J128" s="7" t="n">
        <v>0.08</v>
      </c>
      <c r="K128" t="b">
        <v>1</v>
      </c>
      <c r="L128" t="inlineStr">
        <is>
          <t>Operating lease liabilities $5,410M -&gt; $6,343M -&gt; $6,738M (FY2024, FY2025, Q2 2026)</t>
        </is>
      </c>
      <c r="M128" t="inlineStr">
        <is>
          <t>Store, service and Supercharger footprint growth; the ROU asset moves one-for-one, so no cash or equity effect.</t>
        </is>
      </c>
    </row>
    <row r="129">
      <c r="A129" t="inlineStr">
        <is>
          <t>interest_rate_debt</t>
        </is>
      </c>
      <c r="B129" t="inlineStr">
        <is>
          <t>Financing &amp; capital structure</t>
        </is>
      </c>
      <c r="C129" t="inlineStr">
        <is>
          <t>Interest rate on debt &amp; finance leases (% of beginning balance)</t>
        </is>
      </c>
      <c r="D129" t="inlineStr">
        <is>
          <t>pct</t>
        </is>
      </c>
      <c r="E129" t="inlineStr">
        <is>
          <t>history</t>
        </is>
      </c>
      <c r="F129" s="7" t="n">
        <v>0.041</v>
      </c>
      <c r="G129" s="7" t="n">
        <v>0.041</v>
      </c>
      <c r="H129" s="7" t="n">
        <v>0.041</v>
      </c>
      <c r="I129" s="7" t="n">
        <v>0.041</v>
      </c>
      <c r="J129" s="7" t="n">
        <v>0.041</v>
      </c>
      <c r="K129" t="b">
        <v>1</v>
      </c>
      <c r="L129" t="inlineStr">
        <is>
          <t>FY2025 interest expense $338M / average debt &amp; finance leases ~$8.3B = 4.1%</t>
        </is>
      </c>
      <c r="M129" t="inlineStr">
        <is>
          <t>Held at FY2025 effective rate; applied to beginning balances to avoid circularity.</t>
        </is>
      </c>
    </row>
    <row r="130">
      <c r="A130" t="inlineStr">
        <is>
          <t>interest_yield_cash</t>
        </is>
      </c>
      <c r="B130" t="inlineStr">
        <is>
          <t>Financing &amp; capital structure</t>
        </is>
      </c>
      <c r="C130" t="inlineStr">
        <is>
          <t>Interest yield on cash &amp; investments (% of beginning balance)</t>
        </is>
      </c>
      <c r="D130" t="inlineStr">
        <is>
          <t>pct</t>
        </is>
      </c>
      <c r="E130" t="inlineStr">
        <is>
          <t>history</t>
        </is>
      </c>
      <c r="F130" s="7" t="n">
        <v>0.0391</v>
      </c>
      <c r="G130" s="7" t="n">
        <v>0.0391</v>
      </c>
      <c r="H130" s="7" t="n">
        <v>0.0391</v>
      </c>
      <c r="I130" s="7" t="n">
        <v>0.0391</v>
      </c>
      <c r="J130" s="7" t="n">
        <v>0.0391</v>
      </c>
      <c r="K130" t="b">
        <v>1</v>
      </c>
      <c r="L130" t="inlineStr">
        <is>
          <t>Derived: FY2025 4.17%; H1 2026 ann. 3.91%</t>
        </is>
      </c>
      <c r="M130" t="inlineStr">
        <is>
          <t>Held at the H1 2026 annualised yield. Excluded from valuation FCFE (cash is valued separately).</t>
        </is>
      </c>
    </row>
    <row r="131">
      <c r="A131" t="inlineStr">
        <is>
          <t>option_proceeds</t>
        </is>
      </c>
      <c r="B131" t="inlineStr">
        <is>
          <t>Financing &amp; capital structure</t>
        </is>
      </c>
      <c r="C131" t="inlineStr">
        <is>
          <t>Proceeds from option exercises / ESPP ($M)</t>
        </is>
      </c>
      <c r="D131" t="inlineStr">
        <is>
          <t>usd_m</t>
        </is>
      </c>
      <c r="E131" t="inlineStr">
        <is>
          <t>history</t>
        </is>
      </c>
      <c r="F131" s="7" t="n">
        <v>900</v>
      </c>
      <c r="G131" s="7" t="n">
        <v>900</v>
      </c>
      <c r="H131" s="7" t="n">
        <v>900</v>
      </c>
      <c r="I131" s="7" t="n">
        <v>900</v>
      </c>
      <c r="J131" s="7" t="n">
        <v>900</v>
      </c>
      <c r="K131" t="b">
        <v>1</v>
      </c>
      <c r="L131" t="inlineStr">
        <is>
          <t>CF history: $700M / $1,241M / $1,186M (FY2023-25); H1 2026 $468M</t>
        </is>
      </c>
      <c r="M131" t="inlineStr">
        <is>
          <t>Approximately the three-year average.</t>
        </is>
      </c>
    </row>
    <row r="132">
      <c r="A132" t="inlineStr">
        <is>
          <t>share_issuance_pct</t>
        </is>
      </c>
      <c r="B132" t="inlineStr">
        <is>
          <t>Financing &amp; capital structure</t>
        </is>
      </c>
      <c r="C132" t="inlineStr">
        <is>
          <t>Gross share issuance from equity plans (% of beginning diluted shares)</t>
        </is>
      </c>
      <c r="D132" t="inlineStr">
        <is>
          <t>pct</t>
        </is>
      </c>
      <c r="E132" t="inlineStr">
        <is>
          <t>history</t>
        </is>
      </c>
      <c r="F132" s="7" t="n">
        <v>0.006</v>
      </c>
      <c r="G132" s="7" t="n">
        <v>0.006</v>
      </c>
      <c r="H132" s="7" t="n">
        <v>0.006</v>
      </c>
      <c r="I132" s="7" t="n">
        <v>0.006</v>
      </c>
      <c r="J132" s="7" t="n">
        <v>0.006</v>
      </c>
      <c r="K132" t="b">
        <v>1</v>
      </c>
      <c r="L132" t="inlineStr">
        <is>
          <t>Diluted weighted shares 3,485M -&gt; 3,498M -&gt; 3,528M -&gt; 3,540M (FY2023 to Q2 2026)</t>
        </is>
      </c>
      <c r="M132" t="inlineStr">
        <is>
          <t>Average historical net dilution of ~0.6%/yr.</t>
        </is>
      </c>
    </row>
    <row r="133">
      <c r="A133" t="inlineStr">
        <is>
          <t>buybacks</t>
        </is>
      </c>
      <c r="B133" t="inlineStr">
        <is>
          <t>Financing &amp; capital structure</t>
        </is>
      </c>
      <c r="C133" t="inlineStr">
        <is>
          <t>Share repurchases ($M)</t>
        </is>
      </c>
      <c r="D133" t="inlineStr">
        <is>
          <t>usd_m</t>
        </is>
      </c>
      <c r="E133" t="inlineStr">
        <is>
          <t>history</t>
        </is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t="b">
        <v>1</v>
      </c>
      <c r="L133" t="inlineStr">
        <is>
          <t>No repurchases in FY2023-FY2025 or H1 2026 cash-flow statements</t>
        </is>
      </c>
      <c r="M133" t="inlineStr">
        <is>
          <t>No authorised programme is disclosed; kept at zero. Editable to test a buyback policy.</t>
        </is>
      </c>
    </row>
    <row r="134">
      <c r="A134" t="inlineStr">
        <is>
          <t>min_cash_pct</t>
        </is>
      </c>
      <c r="B134" t="inlineStr">
        <is>
          <t>Financing &amp; capital structure</t>
        </is>
      </c>
      <c r="C134" t="inlineStr">
        <is>
          <t>Minimum cash &amp; investments (% of revenue)</t>
        </is>
      </c>
      <c r="D134" t="inlineStr">
        <is>
          <t>pct</t>
        </is>
      </c>
      <c r="E134" t="inlineStr">
        <is>
          <t>judgment</t>
        </is>
      </c>
      <c r="F134" s="7" t="n">
        <v>0.15</v>
      </c>
      <c r="G134" s="7" t="n">
        <v>0.15</v>
      </c>
      <c r="H134" s="7" t="n">
        <v>0.15</v>
      </c>
      <c r="I134" s="7" t="n">
        <v>0.15</v>
      </c>
      <c r="J134" s="7" t="n">
        <v>0.15</v>
      </c>
      <c r="K134" t="b">
        <v>1</v>
      </c>
      <c r="L134" t="inlineStr">
        <is>
          <t>Tesla does not state a minimum; it held $43.5B (86% of H1 2026 annualised revenue) at 2026-06-30</t>
        </is>
      </c>
      <c r="M134" t="inlineStr">
        <is>
          <t>About two months of costs is a prudent operating buffer for a capital-intensive manufacturer. Cash above this level is treated as excess (non-operating) in the valuation.</t>
        </is>
      </c>
    </row>
    <row r="135">
      <c r="A135" t="inlineStr">
        <is>
          <t>nci_income</t>
        </is>
      </c>
      <c r="B135" t="inlineStr">
        <is>
          <t>Tax &amp; other</t>
        </is>
      </c>
      <c r="C135" t="inlineStr">
        <is>
          <t>Net income attributable to NCI ($M)</t>
        </is>
      </c>
      <c r="D135" t="inlineStr">
        <is>
          <t>usd_m</t>
        </is>
      </c>
      <c r="E135" t="inlineStr">
        <is>
          <t>history</t>
        </is>
      </c>
      <c r="F135" s="7" t="n">
        <v>60</v>
      </c>
      <c r="G135" s="7" t="n">
        <v>60</v>
      </c>
      <c r="H135" s="7" t="n">
        <v>60</v>
      </c>
      <c r="I135" s="7" t="n">
        <v>60</v>
      </c>
      <c r="J135" s="7" t="n">
        <v>60</v>
      </c>
      <c r="K135" t="b">
        <v>1</v>
      </c>
      <c r="L135" t="inlineStr">
        <is>
          <t>$62M / $61M (FY2024-25); H1 2026 $28M</t>
        </is>
      </c>
      <c r="M135" t="inlineStr">
        <is>
          <t>Held at recent level.</t>
        </is>
      </c>
    </row>
    <row r="136">
      <c r="A136" t="inlineStr">
        <is>
          <t>nci_distributions</t>
        </is>
      </c>
      <c r="B136" t="inlineStr">
        <is>
          <t>Tax &amp; other</t>
        </is>
      </c>
      <c r="C136" t="inlineStr">
        <is>
          <t>Distributions to NCI ($M)</t>
        </is>
      </c>
      <c r="D136" t="inlineStr">
        <is>
          <t>usd_m</t>
        </is>
      </c>
      <c r="E136" t="inlineStr">
        <is>
          <t>history</t>
        </is>
      </c>
      <c r="F136" s="7" t="n">
        <v>90</v>
      </c>
      <c r="G136" s="7" t="n">
        <v>90</v>
      </c>
      <c r="H136" s="7" t="n">
        <v>90</v>
      </c>
      <c r="I136" s="7" t="n">
        <v>90</v>
      </c>
      <c r="J136" s="7" t="n">
        <v>90</v>
      </c>
      <c r="K136" t="b">
        <v>1</v>
      </c>
      <c r="L136" t="inlineStr">
        <is>
          <t>$144M / $104M / $78M (FY2023-25); H1 2026 $91M</t>
        </is>
      </c>
      <c r="M136" t="inlineStr">
        <is>
          <t>Held near recent level.</t>
        </is>
      </c>
    </row>
    <row r="137">
      <c r="A137" t="inlineStr">
        <is>
          <t>tax_rate</t>
        </is>
      </c>
      <c r="B137" t="inlineStr">
        <is>
          <t>Tax &amp; other</t>
        </is>
      </c>
      <c r="C137" t="inlineStr">
        <is>
          <t>Effective tax rate (%)</t>
        </is>
      </c>
      <c r="D137" t="inlineStr">
        <is>
          <t>pct</t>
        </is>
      </c>
      <c r="E137" t="inlineStr">
        <is>
          <t>judgment</t>
        </is>
      </c>
      <c r="F137" s="7" t="n">
        <v>0.26</v>
      </c>
      <c r="G137" s="7" t="n">
        <v>0.25</v>
      </c>
      <c r="H137" s="7" t="n">
        <v>0.24</v>
      </c>
      <c r="I137" s="7" t="n">
        <v>0.23</v>
      </c>
      <c r="J137" s="7" t="n">
        <v>0.23</v>
      </c>
      <c r="K137" t="b">
        <v>1</v>
      </c>
      <c r="L137" t="inlineStr">
        <is>
          <t>FY2024 20.4%; FY2025 27.0%; H1 2026 22.1% incl. $274M CA valuation-allowance release (10-Q p.23)</t>
        </is>
      </c>
      <c r="M137" t="inlineStr">
        <is>
          <t>Non-deductible 2025 CEO award expense (10-Q p.23) lifts the rate while pre-tax income is small; it converges toward ~23% as profits grow. One-off valuation-allowance releases are excluded.</t>
        </is>
      </c>
    </row>
    <row r="138"/>
    <row r="139">
      <c r="A139" s="1" t="inlineStr">
        <is>
          <t>Operating drivers - Recession / downside scenario</t>
        </is>
      </c>
    </row>
    <row r="140">
      <c r="A140" s="6" t="inlineStr">
        <is>
          <t>Types: history = held at/derived from reported data; guidance = company-stated; judgment = analyst estimate with rationale. Percent drivers are decimals (0.21 = 21%).</t>
        </is>
      </c>
    </row>
    <row r="141">
      <c r="A141" s="3" t="inlineStr">
        <is>
          <t>ID</t>
        </is>
      </c>
      <c r="B141" s="3" t="inlineStr">
        <is>
          <t>Category</t>
        </is>
      </c>
      <c r="C141" s="3" t="inlineStr">
        <is>
          <t>Assumption</t>
        </is>
      </c>
      <c r="D141" s="3" t="inlineStr">
        <is>
          <t>Unit</t>
        </is>
      </c>
      <c r="E141" s="3" t="inlineStr">
        <is>
          <t>Type</t>
        </is>
      </c>
      <c r="F141" s="3" t="inlineStr">
        <is>
          <t>FY2026E</t>
        </is>
      </c>
      <c r="G141" s="3" t="inlineStr">
        <is>
          <t>FY2027E</t>
        </is>
      </c>
      <c r="H141" s="3" t="inlineStr">
        <is>
          <t>FY2028E</t>
        </is>
      </c>
      <c r="I141" s="3" t="inlineStr">
        <is>
          <t>FY2029E</t>
        </is>
      </c>
      <c r="J141" s="3" t="inlineStr">
        <is>
          <t>FY2030E</t>
        </is>
      </c>
      <c r="K141" s="3" t="inlineStr">
        <is>
          <t>Same as base</t>
        </is>
      </c>
      <c r="L141" s="3" t="inlineStr">
        <is>
          <t>Source</t>
        </is>
      </c>
      <c r="M141" s="3" t="inlineStr">
        <is>
          <t>Rationale</t>
        </is>
      </c>
    </row>
    <row r="142">
      <c r="A142" t="inlineStr">
        <is>
          <t>deliveries_3y</t>
        </is>
      </c>
      <c r="B142" t="inlineStr">
        <is>
          <t>Automotive volume &amp; price</t>
        </is>
      </c>
      <c r="C142" t="inlineStr">
        <is>
          <t>Model 3/Y deliveries (thousand units)</t>
        </is>
      </c>
      <c r="D142" t="inlineStr">
        <is>
          <t>k_units</t>
        </is>
      </c>
      <c r="E142" t="inlineStr">
        <is>
          <t>judgment</t>
        </is>
      </c>
      <c r="F142" s="7" t="n">
        <v>1620</v>
      </c>
      <c r="G142" s="7" t="n">
        <v>1380</v>
      </c>
      <c r="H142" s="7" t="n">
        <v>1450</v>
      </c>
      <c r="I142" s="7" t="n">
        <v>1560</v>
      </c>
      <c r="J142" s="7" t="n">
        <v>1640</v>
      </c>
      <c r="K142" t="b">
        <v>0</v>
      </c>
      <c r="L142" t="inlineStr">
        <is>
          <t>8-K Ex. 99.1 delivery releases: FY2025 1,585k; H1 2026 810k</t>
        </is>
      </c>
      <c r="M142" t="inlineStr">
        <is>
          <t>FY2026 = H1 2026 actual (~810k) plus an H2 slightly below H2 2025, which was pulled forward by the Sept-2025 U.S. EV tax-credit expiry. Thereafter low-single-digit growth as the refreshed/standard trims and new markets offset an ageing line-up and intensifying Chinese competition.</t>
        </is>
      </c>
    </row>
    <row r="143">
      <c r="A143" t="inlineStr">
        <is>
          <t>deliveries_other</t>
        </is>
      </c>
      <c r="B143" t="inlineStr">
        <is>
          <t>Automotive volume &amp; price</t>
        </is>
      </c>
      <c r="C143" t="inlineStr">
        <is>
          <t>Other models deliveries incl. Cybercab/Semi (thousand units)</t>
        </is>
      </c>
      <c r="D143" t="inlineStr">
        <is>
          <t>k_units</t>
        </is>
      </c>
      <c r="E143" t="inlineStr">
        <is>
          <t>judgment</t>
        </is>
      </c>
      <c r="F143" s="7" t="n">
        <v>55</v>
      </c>
      <c r="G143" s="7" t="n">
        <v>60</v>
      </c>
      <c r="H143" s="7" t="n">
        <v>90</v>
      </c>
      <c r="I143" s="7" t="n">
        <v>140</v>
      </c>
      <c r="J143" s="7" t="n">
        <v>200</v>
      </c>
      <c r="K143" t="b">
        <v>0</v>
      </c>
      <c r="L143" t="inlineStr">
        <is>
          <t>8-K Ex. 99.1: FY2025 50.9k; H1 2026 28.5k; Cybercab production began H1 2026 (10-Q p.29)</t>
        </is>
      </c>
      <c r="M143" t="inlineStr">
        <is>
          <t>S/X/Cybertruck volumes are small and declining; growth comes from Cybercab and Semi, which Tesla began producing in 2026. The ramp is a judgment - Tesla gives no unit guidance.</t>
        </is>
      </c>
    </row>
    <row r="144">
      <c r="A144" t="inlineStr">
        <is>
          <t>asp_3y</t>
        </is>
      </c>
      <c r="B144" t="inlineStr">
        <is>
          <t>Automotive volume &amp; price</t>
        </is>
      </c>
      <c r="C144" t="inlineStr">
        <is>
          <t>Model 3/Y average selling price ($ thousand)</t>
        </is>
      </c>
      <c r="D144" t="inlineStr">
        <is>
          <t>usd_k</t>
        </is>
      </c>
      <c r="E144" t="inlineStr">
        <is>
          <t>judgment</t>
        </is>
      </c>
      <c r="F144" s="7" t="n">
        <v>40.4</v>
      </c>
      <c r="G144" s="7" t="n">
        <v>37.5</v>
      </c>
      <c r="H144" s="7" t="n">
        <v>37</v>
      </c>
      <c r="I144" s="7" t="n">
        <v>37.5</v>
      </c>
      <c r="J144" s="7" t="n">
        <v>38</v>
      </c>
      <c r="K144" t="b">
        <v>0</v>
      </c>
      <c r="L144" t="inlineStr">
        <is>
          <t>Derived: automotive sales / (3Y + 2x other deliveries). FY2025 $39.0k; H1 2026 $40.9k</t>
        </is>
      </c>
      <c r="M144" t="inlineStr">
        <is>
          <t>Tesla does not disclose revenue by model. History is split assuming other models carry ~2x the 3/Y price (list-price relationship). Forecast holds near the H1 2026 level, drifting down ~1%/yr for price competition and mix toward cheaper trims; FSD revenue recognised in automotive sales supports ASP.</t>
        </is>
      </c>
    </row>
    <row r="145">
      <c r="A145" t="inlineStr">
        <is>
          <t>asp_other</t>
        </is>
      </c>
      <c r="B145" t="inlineStr">
        <is>
          <t>Automotive volume &amp; price</t>
        </is>
      </c>
      <c r="C145" t="inlineStr">
        <is>
          <t>Other models ASP ($ thousand)</t>
        </is>
      </c>
      <c r="D145" t="inlineStr">
        <is>
          <t>usd_k</t>
        </is>
      </c>
      <c r="E145" t="inlineStr">
        <is>
          <t>judgment</t>
        </is>
      </c>
      <c r="F145" s="7" t="n">
        <v>76</v>
      </c>
      <c r="G145" s="7" t="n">
        <v>64</v>
      </c>
      <c r="H145" s="7" t="n">
        <v>56</v>
      </c>
      <c r="I145" s="7" t="n">
        <v>52</v>
      </c>
      <c r="J145" s="7" t="n">
        <v>49</v>
      </c>
      <c r="K145" t="b">
        <v>0</v>
      </c>
      <c r="L145" t="inlineStr">
        <is>
          <t>Derived history = 2x 3/Y ASP (FY2025 $78k)</t>
        </is>
      </c>
      <c r="M145" t="inlineStr">
        <is>
          <t>Declines as the mix shifts from S/X/Cybertruck (~$80k+) toward Cybercab, which Tesla has said will be priced far below current models; blended value reaches the high-$40ks by 2030.</t>
        </is>
      </c>
    </row>
    <row r="146">
      <c r="A146" t="inlineStr">
        <is>
          <t>reg_credits</t>
        </is>
      </c>
      <c r="B146" t="inlineStr">
        <is>
          <t>Automotive other revenue</t>
        </is>
      </c>
      <c r="C146" t="inlineStr">
        <is>
          <t>Regulatory credit revenue ($M)</t>
        </is>
      </c>
      <c r="D146" t="inlineStr">
        <is>
          <t>usd_m</t>
        </is>
      </c>
      <c r="E146" t="inlineStr">
        <is>
          <t>judgment</t>
        </is>
      </c>
      <c r="F146" s="7" t="n">
        <v>800</v>
      </c>
      <c r="G146" s="7" t="n">
        <v>300</v>
      </c>
      <c r="H146" s="7" t="n">
        <v>150</v>
      </c>
      <c r="I146" s="7" t="n">
        <v>100</v>
      </c>
      <c r="J146" s="7" t="n">
        <v>50</v>
      </c>
      <c r="K146" t="b">
        <v>0</v>
      </c>
      <c r="L146" t="inlineStr">
        <is>
          <t>10-K FY2025 p.37: $1,993M (-28%); 10-Q Q2 2026 p.31: H1 $526M (-49%); OBBBA restricted credit programs</t>
        </is>
      </c>
      <c r="M146" t="inlineStr">
        <is>
          <t>FY2026 ~ H1 run-rate plus a smaller H2; then continued decline as U.S. programs are curtailed (OBBBA) and other OEMs become self-sufficient in credits. High-margin, so the decline hits profit directly.</t>
        </is>
      </c>
    </row>
    <row r="147">
      <c r="A147" t="inlineStr">
        <is>
          <t>auto_leasing_rev</t>
        </is>
      </c>
      <c r="B147" t="inlineStr">
        <is>
          <t>Automotive other revenue</t>
        </is>
      </c>
      <c r="C147" t="inlineStr">
        <is>
          <t>Automotive leasing revenue ($M)</t>
        </is>
      </c>
      <c r="D147" t="inlineStr">
        <is>
          <t>usd_m</t>
        </is>
      </c>
      <c r="E147" t="inlineStr">
        <is>
          <t>judgment</t>
        </is>
      </c>
      <c r="F147" s="7" t="n">
        <v>1450</v>
      </c>
      <c r="G147" s="7" t="n">
        <v>1350</v>
      </c>
      <c r="H147" s="7" t="n">
        <v>1300</v>
      </c>
      <c r="I147" s="7" t="n">
        <v>1300</v>
      </c>
      <c r="J147" s="7" t="n">
        <v>1300</v>
      </c>
      <c r="K147" t="b">
        <v>1</v>
      </c>
      <c r="L147" t="inlineStr">
        <is>
          <t>FY2025 $1,712M; H1 2026 $745M (10-Q p.31)</t>
        </is>
      </c>
      <c r="M147" t="inlineStr">
        <is>
          <t>Only ~1-2% of deliveries are now subject to operating-lease accounting (8-K Ex. 99.1), so the lease book is running off; revenue stabilises around $1.3B.</t>
        </is>
      </c>
    </row>
    <row r="148">
      <c r="A148" t="inlineStr">
        <is>
          <t>services_growth</t>
        </is>
      </c>
      <c r="B148" t="inlineStr">
        <is>
          <t>Services &amp; autonomy</t>
        </is>
      </c>
      <c r="C148" t="inlineStr">
        <is>
          <t>Services &amp; other revenue growth (%)</t>
        </is>
      </c>
      <c r="D148" t="inlineStr">
        <is>
          <t>pct</t>
        </is>
      </c>
      <c r="E148" t="inlineStr">
        <is>
          <t>judgment</t>
        </is>
      </c>
      <c r="F148" s="7" t="n">
        <v>0.3</v>
      </c>
      <c r="G148" s="7" t="n">
        <v>0.04</v>
      </c>
      <c r="H148" s="7" t="n">
        <v>0.08</v>
      </c>
      <c r="I148" s="7" t="n">
        <v>0.1</v>
      </c>
      <c r="J148" s="7" t="n">
        <v>0.1</v>
      </c>
      <c r="K148" t="b">
        <v>0</v>
      </c>
      <c r="L148" t="inlineStr">
        <is>
          <t>FY2025 $12,530M (+19%); H1 2026 +46% YoY (10-Q p.31)</t>
        </is>
      </c>
      <c r="M148" t="inlineStr">
        <is>
          <t>Paid Supercharging, insurance, used vehicles, parts and service scale with Tesla's growing installed fleet. FY2026 reflects the +46% H1 run-rate tapering in H2; growth then fades toward mid-teens.</t>
        </is>
      </c>
    </row>
    <row r="149">
      <c r="A149" t="inlineStr">
        <is>
          <t>autonomy_rev</t>
        </is>
      </c>
      <c r="B149" t="inlineStr">
        <is>
          <t>Services &amp; autonomy</t>
        </is>
      </c>
      <c r="C149" t="inlineStr">
        <is>
          <t>Robotaxi / autonomy network revenue ($M)</t>
        </is>
      </c>
      <c r="D149" t="inlineStr">
        <is>
          <t>usd_m</t>
        </is>
      </c>
      <c r="E149" t="inlineStr">
        <is>
          <t>judgment</t>
        </is>
      </c>
      <c r="F149" s="7" t="n">
        <v>0</v>
      </c>
      <c r="G149" s="7" t="n">
        <v>200</v>
      </c>
      <c r="H149" s="7" t="n">
        <v>800</v>
      </c>
      <c r="I149" s="7" t="n">
        <v>2000</v>
      </c>
      <c r="J149" s="7" t="n">
        <v>3500</v>
      </c>
      <c r="K149" t="b">
        <v>0</v>
      </c>
      <c r="L149" t="inlineStr">
        <is>
          <t>No separate disclosure. Robotaxi service launched June 2025; Cybercab production began H1 2026 (10-Q p.28-29)</t>
        </is>
      </c>
      <c r="M149" t="inlineStr">
        <is>
          <t>Tesla does not report robotaxi revenue; any current amount sits in services &amp; other. This line is an explicit, isolated judgment for incremental ride-hailing revenue so its value contribution is visible. Base assumes a gradual multi-city ramp; bear assumes no material commercial scale by 2030.</t>
        </is>
      </c>
    </row>
    <row r="150">
      <c r="A150" t="inlineStr">
        <is>
          <t>gm_autonomy</t>
        </is>
      </c>
      <c r="B150" t="inlineStr">
        <is>
          <t>Services &amp; autonomy</t>
        </is>
      </c>
      <c r="C150" t="inlineStr">
        <is>
          <t>Autonomy revenue cash gross margin (%)</t>
        </is>
      </c>
      <c r="D150" t="inlineStr">
        <is>
          <t>pct</t>
        </is>
      </c>
      <c r="E150" t="inlineStr">
        <is>
          <t>judgment</t>
        </is>
      </c>
      <c r="F150" s="7" t="n">
        <v>0.35</v>
      </c>
      <c r="G150" s="7" t="n">
        <v>0.35</v>
      </c>
      <c r="H150" s="7" t="n">
        <v>0.35</v>
      </c>
      <c r="I150" s="7" t="n">
        <v>0.35</v>
      </c>
      <c r="J150" s="7" t="n">
        <v>0.35</v>
      </c>
      <c r="K150" t="b">
        <v>0</v>
      </c>
      <c r="L150" t="inlineStr">
        <is>
          <t>No disclosure</t>
        </is>
      </c>
      <c r="M150" t="inlineStr">
        <is>
          <t>A company-owned fleet carries vehicle depreciation (captured via capex/D&amp;A), energy, cleaning, insurance and remote-operations costs. A 40% cash gross margin is an assumption, not a Tesla figure.</t>
        </is>
      </c>
    </row>
    <row r="151">
      <c r="A151" t="inlineStr">
        <is>
          <t>storage_gwh</t>
        </is>
      </c>
      <c r="B151" t="inlineStr">
        <is>
          <t>Energy</t>
        </is>
      </c>
      <c r="C151" t="inlineStr">
        <is>
          <t>Energy storage deployed (GWh)</t>
        </is>
      </c>
      <c r="D151" t="inlineStr">
        <is>
          <t>gwh</t>
        </is>
      </c>
      <c r="E151" t="inlineStr">
        <is>
          <t>judgment</t>
        </is>
      </c>
      <c r="F151" s="7" t="n">
        <v>47</v>
      </c>
      <c r="G151" s="7" t="n">
        <v>44</v>
      </c>
      <c r="H151" s="7" t="n">
        <v>50</v>
      </c>
      <c r="I151" s="7" t="n">
        <v>58</v>
      </c>
      <c r="J151" s="7" t="n">
        <v>66</v>
      </c>
      <c r="K151" t="b">
        <v>0</v>
      </c>
      <c r="L151" t="inlineStr">
        <is>
          <t>10-K: 14.7 / 31.4 / 46.7 GWh (FY2023-25); 10-Q p.28: H1 2026 22.3 GWh</t>
        </is>
      </c>
      <c r="M151" t="inlineStr">
        <is>
          <t>Lathrop and Shanghai Megafactories are ramping and a Houston Megafactory is under construction (10-Q p.30). Growth slows from the 2023-25 pace as tariffs weigh on the U.S. business.</t>
        </is>
      </c>
    </row>
    <row r="152">
      <c r="A152" t="inlineStr">
        <is>
          <t>energy_rev_per_gwh</t>
        </is>
      </c>
      <c r="B152" t="inlineStr">
        <is>
          <t>Energy</t>
        </is>
      </c>
      <c r="C152" t="inlineStr">
        <is>
          <t>Energy revenue per GWh deployed ($M/GWh)</t>
        </is>
      </c>
      <c r="D152" t="inlineStr">
        <is>
          <t>usd_m_per_gwh</t>
        </is>
      </c>
      <c r="E152" t="inlineStr">
        <is>
          <t>judgment</t>
        </is>
      </c>
      <c r="F152" s="7" t="n">
        <v>240</v>
      </c>
      <c r="G152" s="7" t="n">
        <v>225</v>
      </c>
      <c r="H152" s="7" t="n">
        <v>215</v>
      </c>
      <c r="I152" s="7" t="n">
        <v>210</v>
      </c>
      <c r="J152" s="7" t="n">
        <v>205</v>
      </c>
      <c r="K152" t="b">
        <v>0</v>
      </c>
      <c r="L152" t="inlineStr">
        <is>
          <t>Derived: FY2025 $273M; H1 2026 $249M (includes solar &amp; services)</t>
        </is>
      </c>
      <c r="M152" t="inlineStr">
        <is>
          <t>Megapack ASPs are falling (10-K p.38 cites lower Megapack ASP) as cell costs fall and competition rises; the ratio drifts down ~2-3% per year from the H1 2026 level.</t>
        </is>
      </c>
    </row>
    <row r="153">
      <c r="A153" t="inlineStr">
        <is>
          <t>gm_auto_sales</t>
        </is>
      </c>
      <c r="B153" t="inlineStr">
        <is>
          <t>Margins</t>
        </is>
      </c>
      <c r="C153" t="inlineStr">
        <is>
          <t>Automotive sales cash gross margin, ex-D&amp;A (%)</t>
        </is>
      </c>
      <c r="D153" t="inlineStr">
        <is>
          <t>pct</t>
        </is>
      </c>
      <c r="E153" t="inlineStr">
        <is>
          <t>judgment</t>
        </is>
      </c>
      <c r="F153" s="7" t="n">
        <v>0.205</v>
      </c>
      <c r="G153" s="7" t="n">
        <v>0.16</v>
      </c>
      <c r="H153" s="7" t="n">
        <v>0.175</v>
      </c>
      <c r="I153" s="7" t="n">
        <v>0.19</v>
      </c>
      <c r="J153" s="7" t="n">
        <v>0.2</v>
      </c>
      <c r="K153" t="b">
        <v>0</v>
      </c>
      <c r="L153" t="inlineStr">
        <is>
          <t>Derived from 10-K/10-Q with segment D&amp;A (Note 16): FY2025 19.2%; H1 2026 21.2%; GAAP FY2025 14.5%</t>
        </is>
      </c>
      <c r="M153" t="inlineStr">
        <is>
          <t>Margins are modelled before D&amp;A so capex and depreciation flow through explicitly. Base holds near the H1 2026 level, with modest improvement from cost-down and own-cell/cathode ramps offset by tariffs.</t>
        </is>
      </c>
    </row>
    <row r="154">
      <c r="A154" t="inlineStr">
        <is>
          <t>gm_leasing</t>
        </is>
      </c>
      <c r="B154" t="inlineStr">
        <is>
          <t>Margins</t>
        </is>
      </c>
      <c r="C154" t="inlineStr">
        <is>
          <t>Automotive leasing cash gross margin (%)</t>
        </is>
      </c>
      <c r="D154" t="inlineStr">
        <is>
          <t>pct</t>
        </is>
      </c>
      <c r="E154" t="inlineStr">
        <is>
          <t>history</t>
        </is>
      </c>
      <c r="F154" s="7" t="n">
        <v>0.5</v>
      </c>
      <c r="G154" s="7" t="n">
        <v>0.5</v>
      </c>
      <c r="H154" s="7" t="n">
        <v>0.5</v>
      </c>
      <c r="I154" s="7" t="n">
        <v>0.5</v>
      </c>
      <c r="J154" s="7" t="n">
        <v>0.5</v>
      </c>
      <c r="K154" t="b">
        <v>1</v>
      </c>
      <c r="L154" t="inlineStr">
        <is>
          <t>Derived: FY2025 50.4%; H1 2026 51.3%</t>
        </is>
      </c>
      <c r="M154" t="inlineStr">
        <is>
          <t>Held at the FY2025/H1 2026 level.</t>
        </is>
      </c>
    </row>
    <row r="155">
      <c r="A155" t="inlineStr">
        <is>
          <t>gm_services</t>
        </is>
      </c>
      <c r="B155" t="inlineStr">
        <is>
          <t>Margins</t>
        </is>
      </c>
      <c r="C155" t="inlineStr">
        <is>
          <t>Services &amp; other cash gross margin (%)</t>
        </is>
      </c>
      <c r="D155" t="inlineStr">
        <is>
          <t>pct</t>
        </is>
      </c>
      <c r="E155" t="inlineStr">
        <is>
          <t>judgment</t>
        </is>
      </c>
      <c r="F155" s="7" t="n">
        <v>0.15</v>
      </c>
      <c r="G155" s="7" t="n">
        <v>0.11</v>
      </c>
      <c r="H155" s="7" t="n">
        <v>0.13</v>
      </c>
      <c r="I155" s="7" t="n">
        <v>0.15</v>
      </c>
      <c r="J155" s="7" t="n">
        <v>0.16</v>
      </c>
      <c r="K155" t="b">
        <v>0</v>
      </c>
      <c r="L155" t="inlineStr">
        <is>
          <t>Derived: FY2025 12.5%; H1 2026 16.5%</t>
        </is>
      </c>
      <c r="M155" t="inlineStr">
        <is>
          <t>Operating leverage in Supercharging and service as the fleet grows; H1 2026 already showed a step-up.</t>
        </is>
      </c>
    </row>
    <row r="156">
      <c r="A156" t="inlineStr">
        <is>
          <t>gm_energy</t>
        </is>
      </c>
      <c r="B156" t="inlineStr">
        <is>
          <t>Margins</t>
        </is>
      </c>
      <c r="C156" t="inlineStr">
        <is>
          <t>Energy cash gross margin, ex-D&amp;A (%)</t>
        </is>
      </c>
      <c r="D156" t="inlineStr">
        <is>
          <t>pct</t>
        </is>
      </c>
      <c r="E156" t="inlineStr">
        <is>
          <t>judgment</t>
        </is>
      </c>
      <c r="F156" s="7" t="n">
        <v>0.28</v>
      </c>
      <c r="G156" s="7" t="n">
        <v>0.23</v>
      </c>
      <c r="H156" s="7" t="n">
        <v>0.25</v>
      </c>
      <c r="I156" s="7" t="n">
        <v>0.26</v>
      </c>
      <c r="J156" s="7" t="n">
        <v>0.27</v>
      </c>
      <c r="K156" t="b">
        <v>0</v>
      </c>
      <c r="L156" t="inlineStr">
        <is>
          <t>Derived: FY2025 32.6%; H1 2026 32.2% (GAAP Q2 2026 fell to 20.4% on tariffs, 10-Q p.32)</t>
        </is>
      </c>
      <c r="M156" t="inlineStr">
        <is>
          <t>Below the FY2025 level because the 10-Q flags tariffs weighing more heavily on energy than autos; partially offset by manufacturing credits and Shanghai Megafactory scale.</t>
        </is>
      </c>
    </row>
    <row r="157">
      <c r="A157" t="inlineStr">
        <is>
          <t>rd_pct</t>
        </is>
      </c>
      <c r="B157" t="inlineStr">
        <is>
          <t>Operating expenses</t>
        </is>
      </c>
      <c r="C157" t="inlineStr">
        <is>
          <t>R&amp;D ex-D&amp;A (% of revenue)</t>
        </is>
      </c>
      <c r="D157" t="inlineStr">
        <is>
          <t>pct</t>
        </is>
      </c>
      <c r="E157" t="inlineStr">
        <is>
          <t>judgment</t>
        </is>
      </c>
      <c r="F157" s="7" t="n">
        <v>0.075</v>
      </c>
      <c r="G157" s="7" t="n">
        <v>0.08</v>
      </c>
      <c r="H157" s="7" t="n">
        <v>0.076</v>
      </c>
      <c r="I157" s="7" t="n">
        <v>0.07199999999999999</v>
      </c>
      <c r="J157" s="7" t="n">
        <v>0.07000000000000001</v>
      </c>
      <c r="K157" t="b">
        <v>0</v>
      </c>
      <c r="L157" t="inlineStr">
        <is>
          <t>Derived: FY2025 5.6%; H1 2026 7.4%</t>
        </is>
      </c>
      <c r="M157" t="inlineStr">
        <is>
          <t>AI training, Optimus and Cybercab keep R&amp;D elevated at the H1 2026 intensity, easing slightly as revenue grows. Bear keeps the base ratios (management trims spend as growth stalls); recession shows a temporary spike as revenue falls faster than costs.</t>
        </is>
      </c>
    </row>
    <row r="158">
      <c r="A158" t="inlineStr">
        <is>
          <t>sga_pct</t>
        </is>
      </c>
      <c r="B158" t="inlineStr">
        <is>
          <t>Operating expenses</t>
        </is>
      </c>
      <c r="C158" t="inlineStr">
        <is>
          <t>SG&amp;A ex-D&amp;A (% of revenue)</t>
        </is>
      </c>
      <c r="D158" t="inlineStr">
        <is>
          <t>pct</t>
        </is>
      </c>
      <c r="E158" t="inlineStr">
        <is>
          <t>judgment</t>
        </is>
      </c>
      <c r="F158" s="7" t="n">
        <v>0.065</v>
      </c>
      <c r="G158" s="7" t="n">
        <v>0.07000000000000001</v>
      </c>
      <c r="H158" s="7" t="n">
        <v>0.067</v>
      </c>
      <c r="I158" s="7" t="n">
        <v>0.064</v>
      </c>
      <c r="J158" s="7" t="n">
        <v>0.062</v>
      </c>
      <c r="K158" t="b">
        <v>0</v>
      </c>
      <c r="L158" t="inlineStr">
        <is>
          <t>Derived: FY2025 5.1%; H1 2026 6.5% (includes 2025 CEO award SBC, 10-Q p.33)</t>
        </is>
      </c>
      <c r="M158" t="inlineStr">
        <is>
          <t>Held near the H1 2026 ratio, which includes ~$1.1B/yr of 2025 CEO Performance Award expense; modest leverage thereafter. Bear keeps the base ratios; recession shows a temporary spike as revenue falls faster than costs.</t>
        </is>
      </c>
    </row>
    <row r="159">
      <c r="A159" t="inlineStr">
        <is>
          <t>sbc_pct</t>
        </is>
      </c>
      <c r="B159" t="inlineStr">
        <is>
          <t>Operating expenses</t>
        </is>
      </c>
      <c r="C159" t="inlineStr">
        <is>
          <t>Stock-based compensation (% of revenue, non-cash, within costs)</t>
        </is>
      </c>
      <c r="D159" t="inlineStr">
        <is>
          <t>pct</t>
        </is>
      </c>
      <c r="E159" t="inlineStr">
        <is>
          <t>judgment</t>
        </is>
      </c>
      <c r="F159" s="7" t="n">
        <v>0.042</v>
      </c>
      <c r="G159" s="7" t="n">
        <v>0.04</v>
      </c>
      <c r="H159" s="7" t="n">
        <v>0.038</v>
      </c>
      <c r="I159" s="7" t="n">
        <v>0.036</v>
      </c>
      <c r="J159" s="7" t="n">
        <v>0.034</v>
      </c>
      <c r="K159" t="b">
        <v>1</v>
      </c>
      <c r="L159" t="inlineStr">
        <is>
          <t>CF statement: FY2025 3.0%; H1 2026 4.3%; $9.82B unrecognised CEO award cost over 9.2 yrs (10-Q p.21)</t>
        </is>
      </c>
      <c r="M159" t="inlineStr">
        <is>
          <t>SBC is already inside the cost ratios above; this line only sizes the non-cash add-back and APIC build. Declines as a share of revenue while CEO award expense stays roughly flat in dollars.</t>
        </is>
      </c>
    </row>
    <row r="160">
      <c r="A160" t="inlineStr">
        <is>
          <t>da_rate</t>
        </is>
      </c>
      <c r="B160" t="inlineStr">
        <is>
          <t>D&amp;A &amp; capex</t>
        </is>
      </c>
      <c r="C160" t="inlineStr">
        <is>
          <t>D&amp;A (% of beginning net fixed assets)</t>
        </is>
      </c>
      <c r="D160" t="inlineStr">
        <is>
          <t>pct</t>
        </is>
      </c>
      <c r="E160" t="inlineStr">
        <is>
          <t>history</t>
        </is>
      </c>
      <c r="F160" s="7" t="n">
        <v>0.13</v>
      </c>
      <c r="G160" s="7" t="n">
        <v>0.13</v>
      </c>
      <c r="H160" s="7" t="n">
        <v>0.13</v>
      </c>
      <c r="I160" s="7" t="n">
        <v>0.13</v>
      </c>
      <c r="J160" s="7" t="n">
        <v>0.13</v>
      </c>
      <c r="K160" t="b">
        <v>1</v>
      </c>
      <c r="L160" t="inlineStr">
        <is>
          <t>Derived: FY2024 13.1%; FY2025 13.3%; H1 2026 ann. 12.8%</t>
        </is>
      </c>
      <c r="M160" t="inlineStr">
        <is>
          <t>Held at the three-period average. Net fixed assets = PP&amp;E + operating-lease vehicles + energy systems.</t>
        </is>
      </c>
    </row>
    <row r="161">
      <c r="A161" t="inlineStr">
        <is>
          <t>da_cogs_share</t>
        </is>
      </c>
      <c r="B161" t="inlineStr">
        <is>
          <t>D&amp;A &amp; capex</t>
        </is>
      </c>
      <c r="C161" t="inlineStr">
        <is>
          <t>Share of D&amp;A recorded in cost of revenues (%)</t>
        </is>
      </c>
      <c r="D161" t="inlineStr">
        <is>
          <t>pct</t>
        </is>
      </c>
      <c r="E161" t="inlineStr">
        <is>
          <t>history</t>
        </is>
      </c>
      <c r="F161" s="7" t="n">
        <v>0.67</v>
      </c>
      <c r="G161" s="7" t="n">
        <v>0.67</v>
      </c>
      <c r="H161" s="7" t="n">
        <v>0.67</v>
      </c>
      <c r="I161" s="7" t="n">
        <v>0.67</v>
      </c>
      <c r="J161" s="7" t="n">
        <v>0.67</v>
      </c>
      <c r="K161" t="b">
        <v>1</v>
      </c>
      <c r="L161" t="inlineStr">
        <is>
          <t>Segment note D&amp;A in COGS / total D&amp;A: FY2025 67%; H1 2026 66%</t>
        </is>
      </c>
      <c r="M161" t="inlineStr">
        <is>
          <t>Presentation only (splits D&amp;A between gross profit and opex); no effect on EBIT or cash flow.</t>
        </is>
      </c>
    </row>
    <row r="162">
      <c r="A162" t="inlineStr">
        <is>
          <t>capex</t>
        </is>
      </c>
      <c r="B162" t="inlineStr">
        <is>
          <t>D&amp;A &amp; capex</t>
        </is>
      </c>
      <c r="C162" t="inlineStr">
        <is>
          <t>Capital expenditures ($M)</t>
        </is>
      </c>
      <c r="D162" t="inlineStr">
        <is>
          <t>usd_m</t>
        </is>
      </c>
      <c r="E162" t="inlineStr">
        <is>
          <t>guidance</t>
        </is>
      </c>
      <c r="F162" s="7" t="n">
        <v>25000</v>
      </c>
      <c r="G162" s="7" t="n">
        <v>15000</v>
      </c>
      <c r="H162" s="7" t="n">
        <v>13000</v>
      </c>
      <c r="I162" s="7" t="n">
        <v>13000</v>
      </c>
      <c r="J162" s="7" t="n">
        <v>13000</v>
      </c>
      <c r="K162" t="b">
        <v>0</v>
      </c>
      <c r="L162" t="inlineStr">
        <is>
          <t>10-Q Q2 2026 p.35: 2026 capex 'in excess of $25 billion'; H1 2026 actual $8,282M</t>
        </is>
      </c>
      <c r="M162" t="inlineStr">
        <is>
          <t>FY2026 = guidance floor. 2027-30 are judgment: AI compute, Cybercab/Optimus lines and cell factories keep spend elevated before easing toward ~1.2x D&amp;A. Bear and recession cases assume Tesla slows projects as cash generation weakens, which the 10-Q (Liquidity section) says it can do; without that cut the bear case breaches the minimum-cash rule even with the revolver fully drawn.</t>
        </is>
      </c>
    </row>
    <row r="163">
      <c r="A163" t="inlineStr">
        <is>
          <t>strategic_investment</t>
        </is>
      </c>
      <c r="B163" t="inlineStr">
        <is>
          <t>D&amp;A &amp; capex</t>
        </is>
      </c>
      <c r="C163" t="inlineStr">
        <is>
          <t>Strategic equity investments ($M, non-operating)</t>
        </is>
      </c>
      <c r="D163" t="inlineStr">
        <is>
          <t>usd_m</t>
        </is>
      </c>
      <c r="E163" t="inlineStr">
        <is>
          <t>history</t>
        </is>
      </c>
      <c r="F163" s="7" t="n">
        <v>2002</v>
      </c>
      <c r="G163" s="7" t="n">
        <v>0</v>
      </c>
      <c r="H163" s="7" t="n">
        <v>0</v>
      </c>
      <c r="I163" s="7" t="n">
        <v>0</v>
      </c>
      <c r="J163" s="7" t="n">
        <v>0</v>
      </c>
      <c r="K163" t="b">
        <v>1</v>
      </c>
      <c r="L163" t="inlineStr">
        <is>
          <t>10-Q CF p.8-9: purchase of SpaceX equity investment $2,002M in H1 2026</t>
        </is>
      </c>
      <c r="M163" t="inlineStr">
        <is>
          <t>H1 2026 actual; no further investments assumed. Excluded from FCFE and valued separately at carrying value.</t>
        </is>
      </c>
    </row>
    <row r="164">
      <c r="A164" t="inlineStr">
        <is>
          <t>dso</t>
        </is>
      </c>
      <c r="B164" t="inlineStr">
        <is>
          <t>Working capital</t>
        </is>
      </c>
      <c r="C164" t="inlineStr">
        <is>
          <t>Receivable days (DSO, on revenue)</t>
        </is>
      </c>
      <c r="D164" t="inlineStr">
        <is>
          <t>days</t>
        </is>
      </c>
      <c r="E164" t="inlineStr">
        <is>
          <t>history</t>
        </is>
      </c>
      <c r="F164" s="7" t="n">
        <v>17.6</v>
      </c>
      <c r="G164" s="7" t="n">
        <v>17.6</v>
      </c>
      <c r="H164" s="7" t="n">
        <v>17.6</v>
      </c>
      <c r="I164" s="7" t="n">
        <v>17.6</v>
      </c>
      <c r="J164" s="7" t="n">
        <v>17.6</v>
      </c>
      <c r="K164" t="b">
        <v>1</v>
      </c>
      <c r="L164" t="inlineStr">
        <is>
          <t>Derived: FY2023 13.2; FY2024 16.5; FY2025 17.6</t>
        </is>
      </c>
      <c r="M164" t="inlineStr">
        <is>
          <t>Held at the FY2025 level.</t>
        </is>
      </c>
    </row>
    <row r="165">
      <c r="A165" t="inlineStr">
        <is>
          <t>dio</t>
        </is>
      </c>
      <c r="B165" t="inlineStr">
        <is>
          <t>Working capital</t>
        </is>
      </c>
      <c r="C165" t="inlineStr">
        <is>
          <t>Inventory days (DIO, on cost of revenues)</t>
        </is>
      </c>
      <c r="D165" t="inlineStr">
        <is>
          <t>days</t>
        </is>
      </c>
      <c r="E165" t="inlineStr">
        <is>
          <t>history</t>
        </is>
      </c>
      <c r="F165" s="7" t="n">
        <v>58.2</v>
      </c>
      <c r="G165" s="7" t="n">
        <v>70</v>
      </c>
      <c r="H165" s="7" t="n">
        <v>64</v>
      </c>
      <c r="I165" s="7" t="n">
        <v>58.2</v>
      </c>
      <c r="J165" s="7" t="n">
        <v>58.2</v>
      </c>
      <c r="K165" t="b">
        <v>0</v>
      </c>
      <c r="L165" t="inlineStr">
        <is>
          <t>Derived: FY2023 62.9; FY2024 54.7; FY2025 58.2</t>
        </is>
      </c>
      <c r="M165" t="inlineStr">
        <is>
          <t>Held at the FY2025 level; recession case assumes an inventory build.</t>
        </is>
      </c>
    </row>
    <row r="166">
      <c r="A166" t="inlineStr">
        <is>
          <t>dpo</t>
        </is>
      </c>
      <c r="B166" t="inlineStr">
        <is>
          <t>Working capital</t>
        </is>
      </c>
      <c r="C166" t="inlineStr">
        <is>
          <t>Payable days (DPO, on cost of revenues)</t>
        </is>
      </c>
      <c r="D166" t="inlineStr">
        <is>
          <t>days</t>
        </is>
      </c>
      <c r="E166" t="inlineStr">
        <is>
          <t>history</t>
        </is>
      </c>
      <c r="F166" s="7" t="n">
        <v>62.8</v>
      </c>
      <c r="G166" s="7" t="n">
        <v>62.8</v>
      </c>
      <c r="H166" s="7" t="n">
        <v>62.8</v>
      </c>
      <c r="I166" s="7" t="n">
        <v>62.8</v>
      </c>
      <c r="J166" s="7" t="n">
        <v>62.8</v>
      </c>
      <c r="K166" t="b">
        <v>1</v>
      </c>
      <c r="L166" t="inlineStr">
        <is>
          <t>Derived: FY2023 66.6; FY2024 56.7; FY2025 62.8</t>
        </is>
      </c>
      <c r="M166" t="inlineStr">
        <is>
          <t>Held at the FY2025 level.</t>
        </is>
      </c>
    </row>
    <row r="167">
      <c r="A167" t="inlineStr">
        <is>
          <t>prepaid_pct</t>
        </is>
      </c>
      <c r="B167" t="inlineStr">
        <is>
          <t>Working capital</t>
        </is>
      </c>
      <c r="C167" t="inlineStr">
        <is>
          <t>Prepaid &amp; other current assets (% revenue)</t>
        </is>
      </c>
      <c r="D167" t="inlineStr">
        <is>
          <t>pct</t>
        </is>
      </c>
      <c r="E167" t="inlineStr">
        <is>
          <t>history</t>
        </is>
      </c>
      <c r="F167" s="7" t="n">
        <v>0.0803</v>
      </c>
      <c r="G167" s="7" t="n">
        <v>0.0803</v>
      </c>
      <c r="H167" s="7" t="n">
        <v>0.0803</v>
      </c>
      <c r="I167" s="7" t="n">
        <v>0.0803</v>
      </c>
      <c r="J167" s="7" t="n">
        <v>0.0803</v>
      </c>
      <c r="K167" t="b">
        <v>1</v>
      </c>
      <c r="L167" t="inlineStr">
        <is>
          <t>Derived: FY2024 5.5%; FY2025 8.0%</t>
        </is>
      </c>
      <c r="M167" t="inlineStr">
        <is>
          <t>Held at the FY2025 level.</t>
        </is>
      </c>
    </row>
    <row r="168">
      <c r="A168" t="inlineStr">
        <is>
          <t>accrued_pct</t>
        </is>
      </c>
      <c r="B168" t="inlineStr">
        <is>
          <t>Working capital</t>
        </is>
      </c>
      <c r="C168" t="inlineStr">
        <is>
          <t>Accrued &amp; other liabilities ex-leases (% revenue)</t>
        </is>
      </c>
      <c r="D168" t="inlineStr">
        <is>
          <t>pct</t>
        </is>
      </c>
      <c r="E168" t="inlineStr">
        <is>
          <t>history</t>
        </is>
      </c>
      <c r="F168" s="7" t="n">
        <v>0.2088</v>
      </c>
      <c r="G168" s="7" t="n">
        <v>0.2088</v>
      </c>
      <c r="H168" s="7" t="n">
        <v>0.2088</v>
      </c>
      <c r="I168" s="7" t="n">
        <v>0.2088</v>
      </c>
      <c r="J168" s="7" t="n">
        <v>0.2088</v>
      </c>
      <c r="K168" t="b">
        <v>1</v>
      </c>
      <c r="L168" t="inlineStr">
        <is>
          <t>Derived (current accrued + other LT liabilities - operating lease liabilities): FY2024 16.2%; FY2025 20.9%</t>
        </is>
      </c>
      <c r="M168" t="inlineStr">
        <is>
          <t>Held at the FY2025 level (warranty reserves, taxes, capex payables).</t>
        </is>
      </c>
    </row>
    <row r="169">
      <c r="A169" t="inlineStr">
        <is>
          <t>deferred_rev_pct</t>
        </is>
      </c>
      <c r="B169" t="inlineStr">
        <is>
          <t>Working capital</t>
        </is>
      </c>
      <c r="C169" t="inlineStr">
        <is>
          <t>Deferred revenue, current + non-current (% revenue)</t>
        </is>
      </c>
      <c r="D169" t="inlineStr">
        <is>
          <t>pct</t>
        </is>
      </c>
      <c r="E169" t="inlineStr">
        <is>
          <t>history</t>
        </is>
      </c>
      <c r="F169" s="7" t="n">
        <v>0.07439999999999999</v>
      </c>
      <c r="G169" s="7" t="n">
        <v>0.07439999999999999</v>
      </c>
      <c r="H169" s="7" t="n">
        <v>0.07439999999999999</v>
      </c>
      <c r="I169" s="7" t="n">
        <v>0.07439999999999999</v>
      </c>
      <c r="J169" s="7" t="n">
        <v>0.07439999999999999</v>
      </c>
      <c r="K169" t="b">
        <v>1</v>
      </c>
      <c r="L169" t="inlineStr">
        <is>
          <t>Derived: FY2024 6.6%; FY2025 7.4%</t>
        </is>
      </c>
      <c r="M169" t="inlineStr">
        <is>
          <t>Held at the FY2025 level (FSD, connectivity, Supercharging and energy contracts).</t>
        </is>
      </c>
    </row>
    <row r="170">
      <c r="A170" t="inlineStr">
        <is>
          <t>debt_issued</t>
        </is>
      </c>
      <c r="B170" t="inlineStr">
        <is>
          <t>Financing &amp; capital structure</t>
        </is>
      </c>
      <c r="C170" t="inlineStr">
        <is>
          <t>New debt issuance ($M)</t>
        </is>
      </c>
      <c r="D170" t="inlineStr">
        <is>
          <t>usd_m</t>
        </is>
      </c>
      <c r="E170" t="inlineStr">
        <is>
          <t>judgment</t>
        </is>
      </c>
      <c r="F170" s="7" t="n">
        <v>6000</v>
      </c>
      <c r="G170" s="7" t="n">
        <v>3000</v>
      </c>
      <c r="H170" s="7" t="n">
        <v>3000</v>
      </c>
      <c r="I170" s="7" t="n">
        <v>3000</v>
      </c>
      <c r="J170" s="7" t="n">
        <v>3000</v>
      </c>
      <c r="K170" t="b">
        <v>1</v>
      </c>
      <c r="L170" t="inlineStr">
        <is>
          <t>CF history: $3.9B / $5.7B / $5.6B (FY2023-25); H1 2026 $4.7B (10-Q CF)</t>
        </is>
      </c>
      <c r="M170" t="inlineStr">
        <is>
          <t>Tesla's debt is mostly non-recourse auto/energy ABS that is refinanced continuously. FY2026 = H1 actual plus a smaller H2; later years roughly refinance scheduled maturities.</t>
        </is>
      </c>
    </row>
    <row r="171">
      <c r="A171" t="inlineStr">
        <is>
          <t>debt_repaid</t>
        </is>
      </c>
      <c r="B171" t="inlineStr">
        <is>
          <t>Financing &amp; capital structure</t>
        </is>
      </c>
      <c r="C171" t="inlineStr">
        <is>
          <t>Debt repayments ($M)</t>
        </is>
      </c>
      <c r="D171" t="inlineStr">
        <is>
          <t>usd_m</t>
        </is>
      </c>
      <c r="E171" t="inlineStr">
        <is>
          <t>judgment</t>
        </is>
      </c>
      <c r="F171" s="7" t="n">
        <v>5000</v>
      </c>
      <c r="G171" s="7" t="n">
        <v>3000</v>
      </c>
      <c r="H171" s="7" t="n">
        <v>2500</v>
      </c>
      <c r="I171" s="7" t="n">
        <v>5500</v>
      </c>
      <c r="J171" s="7" t="n">
        <v>2500</v>
      </c>
      <c r="K171" t="b">
        <v>1</v>
      </c>
      <c r="L171" t="inlineStr">
        <is>
          <t>10-K Note 9 p.75 scheduled maturities: 2026 $1,576M, 2027 $1,233M, 2028 $649M, 2029 $4,386M, 2030 $89M, thereafter $244M; H1 2026 repaid $3.9B</t>
        </is>
      </c>
      <c r="M171" t="inlineStr">
        <is>
          <t>FY2026 = H1 actual plus H2 scheduled amortisation; later years = scheduled maturities (incl. the 2029 bullet) plus ABS amortisation of new issuance.</t>
        </is>
      </c>
    </row>
    <row r="172">
      <c r="A172" t="inlineStr">
        <is>
          <t>fl_additions</t>
        </is>
      </c>
      <c r="B172" t="inlineStr">
        <is>
          <t>Financing &amp; capital structure</t>
        </is>
      </c>
      <c r="C172" t="inlineStr">
        <is>
          <t>New finance leases ($M, non-cash)</t>
        </is>
      </c>
      <c r="D172" t="inlineStr">
        <is>
          <t>usd_m</t>
        </is>
      </c>
      <c r="E172" t="inlineStr">
        <is>
          <t>judgment</t>
        </is>
      </c>
      <c r="F172" s="7" t="n">
        <v>140</v>
      </c>
      <c r="G172" s="7" t="n">
        <v>80</v>
      </c>
      <c r="H172" s="7" t="n">
        <v>80</v>
      </c>
      <c r="I172" s="7" t="n">
        <v>80</v>
      </c>
      <c r="J172" s="7" t="n">
        <v>80</v>
      </c>
      <c r="K172" t="b">
        <v>1</v>
      </c>
      <c r="L172" t="inlineStr">
        <is>
          <t>Finance lease liability $223M (FY2025) -&gt; $281M (Q2 2026)</t>
        </is>
      </c>
      <c r="M172" t="inlineStr">
        <is>
          <t>Small; set so the finance-lease balance stays roughly stable.</t>
        </is>
      </c>
    </row>
    <row r="173">
      <c r="A173" t="inlineStr">
        <is>
          <t>fl_principal</t>
        </is>
      </c>
      <c r="B173" t="inlineStr">
        <is>
          <t>Financing &amp; capital structure</t>
        </is>
      </c>
      <c r="C173" t="inlineStr">
        <is>
          <t>Finance lease principal payments ($M)</t>
        </is>
      </c>
      <c r="D173" t="inlineStr">
        <is>
          <t>usd_m</t>
        </is>
      </c>
      <c r="E173" t="inlineStr">
        <is>
          <t>history</t>
        </is>
      </c>
      <c r="F173" s="7" t="n">
        <v>80</v>
      </c>
      <c r="G173" s="7" t="n">
        <v>80</v>
      </c>
      <c r="H173" s="7" t="n">
        <v>80</v>
      </c>
      <c r="I173" s="7" t="n">
        <v>80</v>
      </c>
      <c r="J173" s="7" t="n">
        <v>80</v>
      </c>
      <c r="K173" t="b">
        <v>1</v>
      </c>
      <c r="L173" t="inlineStr">
        <is>
          <t>10-K Note 10 finance-lease maturity table: 2026 $80M, 2027 $72M, 2028 $27M, 2029 $22M, 2030 $22M, thereafter $23M</t>
        </is>
      </c>
      <c r="M173" t="inlineStr">
        <is>
          <t>Contractual schedule plus run-off of new leases.</t>
        </is>
      </c>
    </row>
    <row r="174">
      <c r="A174" t="inlineStr">
        <is>
          <t>op_lease_growth</t>
        </is>
      </c>
      <c r="B174" t="inlineStr">
        <is>
          <t>Financing &amp; capital structure</t>
        </is>
      </c>
      <c r="C174" t="inlineStr">
        <is>
          <t>Operating lease liability growth (%, non-cash)</t>
        </is>
      </c>
      <c r="D174" t="inlineStr">
        <is>
          <t>pct</t>
        </is>
      </c>
      <c r="E174" t="inlineStr">
        <is>
          <t>judgment</t>
        </is>
      </c>
      <c r="F174" s="7" t="n">
        <v>0.08</v>
      </c>
      <c r="G174" s="7" t="n">
        <v>0.08</v>
      </c>
      <c r="H174" s="7" t="n">
        <v>0.08</v>
      </c>
      <c r="I174" s="7" t="n">
        <v>0.08</v>
      </c>
      <c r="J174" s="7" t="n">
        <v>0.08</v>
      </c>
      <c r="K174" t="b">
        <v>1</v>
      </c>
      <c r="L174" t="inlineStr">
        <is>
          <t>Operating lease liabilities $5,410M -&gt; $6,343M -&gt; $6,738M (FY2024, FY2025, Q2 2026)</t>
        </is>
      </c>
      <c r="M174" t="inlineStr">
        <is>
          <t>Store, service and Supercharger footprint growth; the ROU asset moves one-for-one, so no cash or equity effect.</t>
        </is>
      </c>
    </row>
    <row r="175">
      <c r="A175" t="inlineStr">
        <is>
          <t>interest_rate_debt</t>
        </is>
      </c>
      <c r="B175" t="inlineStr">
        <is>
          <t>Financing &amp; capital structure</t>
        </is>
      </c>
      <c r="C175" t="inlineStr">
        <is>
          <t>Interest rate on debt &amp; finance leases (% of beginning balance)</t>
        </is>
      </c>
      <c r="D175" t="inlineStr">
        <is>
          <t>pct</t>
        </is>
      </c>
      <c r="E175" t="inlineStr">
        <is>
          <t>history</t>
        </is>
      </c>
      <c r="F175" s="7" t="n">
        <v>0.041</v>
      </c>
      <c r="G175" s="7" t="n">
        <v>0.041</v>
      </c>
      <c r="H175" s="7" t="n">
        <v>0.041</v>
      </c>
      <c r="I175" s="7" t="n">
        <v>0.041</v>
      </c>
      <c r="J175" s="7" t="n">
        <v>0.041</v>
      </c>
      <c r="K175" t="b">
        <v>1</v>
      </c>
      <c r="L175" t="inlineStr">
        <is>
          <t>FY2025 interest expense $338M / average debt &amp; finance leases ~$8.3B = 4.1%</t>
        </is>
      </c>
      <c r="M175" t="inlineStr">
        <is>
          <t>Held at FY2025 effective rate; applied to beginning balances to avoid circularity.</t>
        </is>
      </c>
    </row>
    <row r="176">
      <c r="A176" t="inlineStr">
        <is>
          <t>interest_yield_cash</t>
        </is>
      </c>
      <c r="B176" t="inlineStr">
        <is>
          <t>Financing &amp; capital structure</t>
        </is>
      </c>
      <c r="C176" t="inlineStr">
        <is>
          <t>Interest yield on cash &amp; investments (% of beginning balance)</t>
        </is>
      </c>
      <c r="D176" t="inlineStr">
        <is>
          <t>pct</t>
        </is>
      </c>
      <c r="E176" t="inlineStr">
        <is>
          <t>history</t>
        </is>
      </c>
      <c r="F176" s="7" t="n">
        <v>0.0391</v>
      </c>
      <c r="G176" s="7" t="n">
        <v>0.0391</v>
      </c>
      <c r="H176" s="7" t="n">
        <v>0.0391</v>
      </c>
      <c r="I176" s="7" t="n">
        <v>0.0391</v>
      </c>
      <c r="J176" s="7" t="n">
        <v>0.0391</v>
      </c>
      <c r="K176" t="b">
        <v>1</v>
      </c>
      <c r="L176" t="inlineStr">
        <is>
          <t>Derived: FY2025 4.17%; H1 2026 ann. 3.91%</t>
        </is>
      </c>
      <c r="M176" t="inlineStr">
        <is>
          <t>Held at the H1 2026 annualised yield. Excluded from valuation FCFE (cash is valued separately).</t>
        </is>
      </c>
    </row>
    <row r="177">
      <c r="A177" t="inlineStr">
        <is>
          <t>option_proceeds</t>
        </is>
      </c>
      <c r="B177" t="inlineStr">
        <is>
          <t>Financing &amp; capital structure</t>
        </is>
      </c>
      <c r="C177" t="inlineStr">
        <is>
          <t>Proceeds from option exercises / ESPP ($M)</t>
        </is>
      </c>
      <c r="D177" t="inlineStr">
        <is>
          <t>usd_m</t>
        </is>
      </c>
      <c r="E177" t="inlineStr">
        <is>
          <t>history</t>
        </is>
      </c>
      <c r="F177" s="7" t="n">
        <v>900</v>
      </c>
      <c r="G177" s="7" t="n">
        <v>900</v>
      </c>
      <c r="H177" s="7" t="n">
        <v>900</v>
      </c>
      <c r="I177" s="7" t="n">
        <v>900</v>
      </c>
      <c r="J177" s="7" t="n">
        <v>900</v>
      </c>
      <c r="K177" t="b">
        <v>1</v>
      </c>
      <c r="L177" t="inlineStr">
        <is>
          <t>CF history: $700M / $1,241M / $1,186M (FY2023-25); H1 2026 $468M</t>
        </is>
      </c>
      <c r="M177" t="inlineStr">
        <is>
          <t>Approximately the three-year average.</t>
        </is>
      </c>
    </row>
    <row r="178">
      <c r="A178" t="inlineStr">
        <is>
          <t>share_issuance_pct</t>
        </is>
      </c>
      <c r="B178" t="inlineStr">
        <is>
          <t>Financing &amp; capital structure</t>
        </is>
      </c>
      <c r="C178" t="inlineStr">
        <is>
          <t>Gross share issuance from equity plans (% of beginning diluted shares)</t>
        </is>
      </c>
      <c r="D178" t="inlineStr">
        <is>
          <t>pct</t>
        </is>
      </c>
      <c r="E178" t="inlineStr">
        <is>
          <t>history</t>
        </is>
      </c>
      <c r="F178" s="7" t="n">
        <v>0.006</v>
      </c>
      <c r="G178" s="7" t="n">
        <v>0.006</v>
      </c>
      <c r="H178" s="7" t="n">
        <v>0.006</v>
      </c>
      <c r="I178" s="7" t="n">
        <v>0.006</v>
      </c>
      <c r="J178" s="7" t="n">
        <v>0.006</v>
      </c>
      <c r="K178" t="b">
        <v>1</v>
      </c>
      <c r="L178" t="inlineStr">
        <is>
          <t>Diluted weighted shares 3,485M -&gt; 3,498M -&gt; 3,528M -&gt; 3,540M (FY2023 to Q2 2026)</t>
        </is>
      </c>
      <c r="M178" t="inlineStr">
        <is>
          <t>Average historical net dilution of ~0.6%/yr.</t>
        </is>
      </c>
    </row>
    <row r="179">
      <c r="A179" t="inlineStr">
        <is>
          <t>buybacks</t>
        </is>
      </c>
      <c r="B179" t="inlineStr">
        <is>
          <t>Financing &amp; capital structure</t>
        </is>
      </c>
      <c r="C179" t="inlineStr">
        <is>
          <t>Share repurchases ($M)</t>
        </is>
      </c>
      <c r="D179" t="inlineStr">
        <is>
          <t>usd_m</t>
        </is>
      </c>
      <c r="E179" t="inlineStr">
        <is>
          <t>history</t>
        </is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>0</v>
      </c>
      <c r="K179" t="b">
        <v>1</v>
      </c>
      <c r="L179" t="inlineStr">
        <is>
          <t>No repurchases in FY2023-FY2025 or H1 2026 cash-flow statements</t>
        </is>
      </c>
      <c r="M179" t="inlineStr">
        <is>
          <t>No authorised programme is disclosed; kept at zero. Editable to test a buyback policy.</t>
        </is>
      </c>
    </row>
    <row r="180">
      <c r="A180" t="inlineStr">
        <is>
          <t>min_cash_pct</t>
        </is>
      </c>
      <c r="B180" t="inlineStr">
        <is>
          <t>Financing &amp; capital structure</t>
        </is>
      </c>
      <c r="C180" t="inlineStr">
        <is>
          <t>Minimum cash &amp; investments (% of revenue)</t>
        </is>
      </c>
      <c r="D180" t="inlineStr">
        <is>
          <t>pct</t>
        </is>
      </c>
      <c r="E180" t="inlineStr">
        <is>
          <t>judgment</t>
        </is>
      </c>
      <c r="F180" s="7" t="n">
        <v>0.15</v>
      </c>
      <c r="G180" s="7" t="n">
        <v>0.15</v>
      </c>
      <c r="H180" s="7" t="n">
        <v>0.15</v>
      </c>
      <c r="I180" s="7" t="n">
        <v>0.15</v>
      </c>
      <c r="J180" s="7" t="n">
        <v>0.15</v>
      </c>
      <c r="K180" t="b">
        <v>1</v>
      </c>
      <c r="L180" t="inlineStr">
        <is>
          <t>Tesla does not state a minimum; it held $43.5B (86% of H1 2026 annualised revenue) at 2026-06-30</t>
        </is>
      </c>
      <c r="M180" t="inlineStr">
        <is>
          <t>About two months of costs is a prudent operating buffer for a capital-intensive manufacturer. Cash above this level is treated as excess (non-operating) in the valuation.</t>
        </is>
      </c>
    </row>
    <row r="181">
      <c r="A181" t="inlineStr">
        <is>
          <t>nci_income</t>
        </is>
      </c>
      <c r="B181" t="inlineStr">
        <is>
          <t>Tax &amp; other</t>
        </is>
      </c>
      <c r="C181" t="inlineStr">
        <is>
          <t>Net income attributable to NCI ($M)</t>
        </is>
      </c>
      <c r="D181" t="inlineStr">
        <is>
          <t>usd_m</t>
        </is>
      </c>
      <c r="E181" t="inlineStr">
        <is>
          <t>history</t>
        </is>
      </c>
      <c r="F181" s="7" t="n">
        <v>60</v>
      </c>
      <c r="G181" s="7" t="n">
        <v>60</v>
      </c>
      <c r="H181" s="7" t="n">
        <v>60</v>
      </c>
      <c r="I181" s="7" t="n">
        <v>60</v>
      </c>
      <c r="J181" s="7" t="n">
        <v>60</v>
      </c>
      <c r="K181" t="b">
        <v>1</v>
      </c>
      <c r="L181" t="inlineStr">
        <is>
          <t>$62M / $61M (FY2024-25); H1 2026 $28M</t>
        </is>
      </c>
      <c r="M181" t="inlineStr">
        <is>
          <t>Held at recent level.</t>
        </is>
      </c>
    </row>
    <row r="182">
      <c r="A182" t="inlineStr">
        <is>
          <t>nci_distributions</t>
        </is>
      </c>
      <c r="B182" t="inlineStr">
        <is>
          <t>Tax &amp; other</t>
        </is>
      </c>
      <c r="C182" t="inlineStr">
        <is>
          <t>Distributions to NCI ($M)</t>
        </is>
      </c>
      <c r="D182" t="inlineStr">
        <is>
          <t>usd_m</t>
        </is>
      </c>
      <c r="E182" t="inlineStr">
        <is>
          <t>history</t>
        </is>
      </c>
      <c r="F182" s="7" t="n">
        <v>90</v>
      </c>
      <c r="G182" s="7" t="n">
        <v>90</v>
      </c>
      <c r="H182" s="7" t="n">
        <v>90</v>
      </c>
      <c r="I182" s="7" t="n">
        <v>90</v>
      </c>
      <c r="J182" s="7" t="n">
        <v>90</v>
      </c>
      <c r="K182" t="b">
        <v>1</v>
      </c>
      <c r="L182" t="inlineStr">
        <is>
          <t>$144M / $104M / $78M (FY2023-25); H1 2026 $91M</t>
        </is>
      </c>
      <c r="M182" t="inlineStr">
        <is>
          <t>Held near recent level.</t>
        </is>
      </c>
    </row>
    <row r="183">
      <c r="A183" t="inlineStr">
        <is>
          <t>tax_rate</t>
        </is>
      </c>
      <c r="B183" t="inlineStr">
        <is>
          <t>Tax &amp; other</t>
        </is>
      </c>
      <c r="C183" t="inlineStr">
        <is>
          <t>Effective tax rate (%)</t>
        </is>
      </c>
      <c r="D183" t="inlineStr">
        <is>
          <t>pct</t>
        </is>
      </c>
      <c r="E183" t="inlineStr">
        <is>
          <t>judgment</t>
        </is>
      </c>
      <c r="F183" s="7" t="n">
        <v>0.26</v>
      </c>
      <c r="G183" s="7" t="n">
        <v>0.25</v>
      </c>
      <c r="H183" s="7" t="n">
        <v>0.24</v>
      </c>
      <c r="I183" s="7" t="n">
        <v>0.23</v>
      </c>
      <c r="J183" s="7" t="n">
        <v>0.23</v>
      </c>
      <c r="K183" t="b">
        <v>1</v>
      </c>
      <c r="L183" t="inlineStr">
        <is>
          <t>FY2024 20.4%; FY2025 27.0%; H1 2026 22.1% incl. $274M CA valuation-allowance release (10-Q p.23)</t>
        </is>
      </c>
      <c r="M183" t="inlineStr">
        <is>
          <t>Non-deductible 2025 CEO award expense (10-Q p.23) lifts the rate while pre-tax income is small; it converges toward ~23% as profits grow. One-off valuation-allowance releases are excluded.</t>
        </is>
      </c>
    </row>
    <row r="184"/>
    <row r="185">
      <c r="A185" s="1" t="inlineStr">
        <is>
          <t>Valuation and structural parameters</t>
        </is>
      </c>
    </row>
    <row r="186">
      <c r="A186" s="3" t="inlineStr">
        <is>
          <t>ID</t>
        </is>
      </c>
      <c r="B186" s="3" t="inlineStr">
        <is>
          <t>Parameter</t>
        </is>
      </c>
      <c r="C186" s="3" t="inlineStr">
        <is>
          <t>Value</t>
        </is>
      </c>
      <c r="D186" s="3" t="inlineStr">
        <is>
          <t>Unit</t>
        </is>
      </c>
      <c r="E186" s="3" t="inlineStr">
        <is>
          <t>Type</t>
        </is>
      </c>
      <c r="F186" s="3" t="inlineStr">
        <is>
          <t>Source</t>
        </is>
      </c>
      <c r="G186" s="3" t="inlineStr">
        <is>
          <t>Rationale</t>
        </is>
      </c>
    </row>
    <row r="187">
      <c r="A187" t="inlineStr">
        <is>
          <t>risk_free</t>
        </is>
      </c>
      <c r="B187" t="inlineStr">
        <is>
          <t>Risk-free rate (10-year U.S. Treasury)</t>
        </is>
      </c>
      <c r="C187" s="5" t="n">
        <v>0.0511</v>
      </c>
      <c r="D187" t="inlineStr">
        <is>
          <t>pct</t>
        </is>
      </c>
      <c r="E187" t="inlineStr">
        <is>
          <t>history</t>
        </is>
      </c>
      <c r="F187" t="inlineStr">
        <is>
          <t>U.S. Treasury daily par yield curve, 10-year CMT, 2026-09-23</t>
        </is>
      </c>
      <c r="G187" t="inlineStr">
        <is>
          <t>Observed market yield matching the long-dated equity cash flows.</t>
        </is>
      </c>
    </row>
    <row r="188">
      <c r="A188" t="inlineStr">
        <is>
          <t>erp</t>
        </is>
      </c>
      <c r="B188" t="inlineStr">
        <is>
          <t>Equity risk premium</t>
        </is>
      </c>
      <c r="C188" s="5" t="n">
        <v>0.045</v>
      </c>
      <c r="D188" t="inlineStr">
        <is>
          <t>pct</t>
        </is>
      </c>
      <c r="E188" t="inlineStr">
        <is>
          <t>judgment</t>
        </is>
      </c>
      <c r="F188" t="inlineStr">
        <is>
          <t>Analyst judgment</t>
        </is>
      </c>
      <c r="G188" t="inlineStr">
        <is>
          <t>Within the ~4-5% range of implied U.S. ERP estimates (e.g. Damodaran's monthly implied ERP) in 2024-2026. Update to the latest estimate before use.</t>
        </is>
      </c>
    </row>
    <row r="189">
      <c r="A189" t="inlineStr">
        <is>
          <t>beta_method</t>
        </is>
      </c>
      <c r="B189" t="inlineStr">
        <is>
          <t>Beta used in CAPM</t>
        </is>
      </c>
      <c r="C189" t="inlineStr">
        <is>
          <t>bottom-up</t>
        </is>
      </c>
      <c r="D189" t="inlineStr">
        <is>
          <t>choice</t>
        </is>
      </c>
      <c r="E189" t="inlineStr">
        <is>
          <t>judgment</t>
        </is>
      </c>
      <c r="F189" t="inlineStr">
        <is>
          <t>Model setting</t>
        </is>
      </c>
      <c r="G189" t="inlineStr">
        <is>
          <t>Bottom-up peer beta is less noisy than a single regression and reflects the business mix; the observed regression beta is shown as an alternative discount-rate case.</t>
        </is>
      </c>
    </row>
    <row r="190">
      <c r="A190" t="inlineStr">
        <is>
          <t>beta_observed</t>
        </is>
      </c>
      <c r="B190" t="inlineStr">
        <is>
          <t>Observed TSLA beta (5y monthly vs S&amp;P 500)</t>
        </is>
      </c>
      <c r="C190" s="5" t="n">
        <v>1.76</v>
      </c>
      <c r="D190" t="inlineStr">
        <is>
          <t>ratio</t>
        </is>
      </c>
      <c r="E190" t="inlineStr">
        <is>
          <t>history</t>
        </is>
      </c>
      <c r="F190" t="inlineStr">
        <is>
          <t>Yahoo Finance chart API, computed by tsla_model.data_ingestion, 2026-09-24</t>
        </is>
      </c>
      <c r="G190" t="inlineStr">
        <is>
          <t>OLS slope of 5 years of monthly total returns (adjusted close) vs. S&amp;P 500 (^GSPC), 59 observations</t>
        </is>
      </c>
    </row>
    <row r="191">
      <c r="A191" t="inlineStr">
        <is>
          <t>peer_weight_auto</t>
        </is>
      </c>
      <c r="B191" t="inlineStr">
        <is>
          <t>Bottom-up beta: weight on auto peers vs energy peers</t>
        </is>
      </c>
      <c r="C191" s="5" t="n">
        <v>0.85</v>
      </c>
      <c r="D191" t="inlineStr">
        <is>
          <t>pct</t>
        </is>
      </c>
      <c r="E191" t="inlineStr">
        <is>
          <t>judgment</t>
        </is>
      </c>
      <c r="F191" t="inlineStr">
        <is>
          <t>Revenue mix: automotive &amp; services ~87% / energy ~13% of FY2025 revenue (10-K p.37)</t>
        </is>
      </c>
      <c r="G191" t="inlineStr">
        <is>
          <t>Weights the unlevered-beta averages of the auto (legacy + EV) and energy peer groups by Tesla's revenue mix.</t>
        </is>
      </c>
    </row>
    <row r="192">
      <c r="A192" t="inlineStr">
        <is>
          <t>tax_rate_beta</t>
        </is>
      </c>
      <c r="B192" t="inlineStr">
        <is>
          <t>Marginal tax rate for relevering</t>
        </is>
      </c>
      <c r="C192" s="5" t="n">
        <v>0.21</v>
      </c>
      <c r="D192" t="inlineStr">
        <is>
          <t>pct</t>
        </is>
      </c>
      <c r="E192" t="inlineStr">
        <is>
          <t>history</t>
        </is>
      </c>
      <c r="F192" t="inlineStr">
        <is>
          <t>U.S. federal statutory rate</t>
        </is>
      </c>
      <c r="G192" t="inlineStr">
        <is>
          <t>Standard Hamada relevering input.</t>
        </is>
      </c>
    </row>
    <row r="193">
      <c r="A193" t="inlineStr">
        <is>
          <t>terminal_growth</t>
        </is>
      </c>
      <c r="B193" t="inlineStr">
        <is>
          <t>Terminal FCFE growth (Gordon)</t>
        </is>
      </c>
      <c r="C193" s="5" t="n">
        <v>0.03</v>
      </c>
      <c r="D193" t="inlineStr">
        <is>
          <t>pct</t>
        </is>
      </c>
      <c r="E193" t="inlineStr">
        <is>
          <t>judgment</t>
        </is>
      </c>
      <c r="F193" t="inlineStr">
        <is>
          <t>Analyst judgment</t>
        </is>
      </c>
      <c r="G193" t="inlineStr">
        <is>
          <t>Below the 5.1% risk-free rate (a proxy for long-run nominal growth); a mature Tesla growing with nominal GDP.</t>
        </is>
      </c>
    </row>
    <row r="194">
      <c r="A194" t="inlineStr">
        <is>
          <t>terminal_capex_to_da</t>
        </is>
      </c>
      <c r="B194" t="inlineStr">
        <is>
          <t>Terminal capex / D&amp;A</t>
        </is>
      </c>
      <c r="C194" s="5" t="n">
        <v>1.15</v>
      </c>
      <c r="D194" t="inlineStr">
        <is>
          <t>ratio</t>
        </is>
      </c>
      <c r="E194" t="inlineStr">
        <is>
          <t>judgment</t>
        </is>
      </c>
      <c r="F194" t="inlineStr">
        <is>
          <t>Analyst judgment</t>
        </is>
      </c>
      <c r="G194" t="inlineStr">
        <is>
          <t>In steady state capex must exceed depreciation enough to fund growth; 1.15x supports ~3% growth on Tesla's asset base without the 2026-28 AI/capacity build-out.</t>
        </is>
      </c>
    </row>
    <row r="195">
      <c r="A195" t="inlineStr">
        <is>
          <t>add_back_sbc</t>
        </is>
      </c>
      <c r="B195" t="inlineStr">
        <is>
          <t>Add back SBC as a non-cash charge in FCFE</t>
        </is>
      </c>
      <c r="C195" t="b">
        <v>1</v>
      </c>
      <c r="D195" t="inlineStr">
        <is>
          <t>bool</t>
        </is>
      </c>
      <c r="E195" t="inlineStr">
        <is>
          <t>judgment</t>
        </is>
      </c>
      <c r="F195" t="inlineStr">
        <is>
          <t>Model setting</t>
        </is>
      </c>
      <c r="G195" t="inlineStr">
        <is>
          <t>The requested FCFE definition adds back non-cash charges. Because SBC is a real economic cost, set this to False for a conservative case; share dilution is modelled separately.</t>
        </is>
      </c>
    </row>
    <row r="196">
      <c r="A196" t="inlineStr">
        <is>
          <t>include_ceo_award_shares</t>
        </is>
      </c>
      <c r="B196" t="inlineStr">
        <is>
          <t>Include 423.7M unearned 2025 CEO award shares in diluted count</t>
        </is>
      </c>
      <c r="C196" t="b">
        <v>0</v>
      </c>
      <c r="D196" t="inlineStr">
        <is>
          <t>bool</t>
        </is>
      </c>
      <c r="E196" t="inlineStr">
        <is>
          <t>judgment</t>
        </is>
      </c>
      <c r="F196" t="inlineStr">
        <is>
          <t>10-Q Note 9 p.21</t>
        </is>
      </c>
      <c r="G196" t="inlineStr">
        <is>
          <t>Excluded by default, consistent with GAAP diluted EPS (not yet earned). Set to True to value per share as if all market-cap milestones (which imply a far higher price) are achieved.</t>
        </is>
      </c>
    </row>
    <row r="197">
      <c r="A197" t="inlineStr">
        <is>
          <t>mid_year</t>
        </is>
      </c>
      <c r="B197" t="inlineStr">
        <is>
          <t>Mid-period discounting convention</t>
        </is>
      </c>
      <c r="C197" t="b">
        <v>0</v>
      </c>
      <c r="D197" t="inlineStr">
        <is>
          <t>bool</t>
        </is>
      </c>
      <c r="E197" t="inlineStr">
        <is>
          <t>judgment</t>
        </is>
      </c>
      <c r="F197" t="inlineStr">
        <is>
          <t>Model setting</t>
        </is>
      </c>
      <c r="G197" t="inlineStr">
        <is>
          <t>End-of-period discounting by default (more conservative); mid-period assumes cash arrives evenly.</t>
        </is>
      </c>
    </row>
    <row r="198">
      <c r="A198" t="inlineStr">
        <is>
          <t>revolver_capacity</t>
        </is>
      </c>
      <c r="B198" t="inlineStr">
        <is>
          <t>Revolver capacity ($M)</t>
        </is>
      </c>
      <c r="C198" s="4" t="n">
        <v>5000</v>
      </c>
      <c r="D198" t="inlineStr">
        <is>
          <t>usd_m</t>
        </is>
      </c>
      <c r="E198" t="inlineStr">
        <is>
          <t>history</t>
        </is>
      </c>
      <c r="F198" t="inlineStr">
        <is>
          <t>10-Q Q2 2026 p.35: $5.00B unused committed credit</t>
        </is>
      </c>
      <c r="G198" t="inlineStr">
        <is>
          <t>Only drawn if cash falls below the minimum.</t>
        </is>
      </c>
    </row>
    <row r="199">
      <c r="A199" t="inlineStr">
        <is>
          <t>revolver_rate</t>
        </is>
      </c>
      <c r="B199" t="inlineStr">
        <is>
          <t>Revolver interest rate</t>
        </is>
      </c>
      <c r="C199" s="5" t="n">
        <v>0.06</v>
      </c>
      <c r="D199" t="inlineStr">
        <is>
          <t>pct</t>
        </is>
      </c>
      <c r="E199" t="inlineStr">
        <is>
          <t>judgment</t>
        </is>
      </c>
      <c r="F199" t="inlineStr">
        <is>
          <t>Analyst judgment</t>
        </is>
      </c>
      <c r="G199" t="inlineStr">
        <is>
          <t>Approximately SOFR plus an investment-grade margin; only matters if the revolver is drawn.</t>
        </is>
      </c>
    </row>
    <row r="200">
      <c r="A200" t="inlineStr">
        <is>
          <t>pe_multiple_low</t>
        </is>
      </c>
      <c r="B200" t="inlineStr">
        <is>
          <t>Cross-check: forward P/E low</t>
        </is>
      </c>
      <c r="C200" s="4" t="n">
        <v>15</v>
      </c>
      <c r="D200" t="inlineStr">
        <is>
          <t>ratio</t>
        </is>
      </c>
      <c r="E200" t="inlineStr">
        <is>
          <t>judgment</t>
        </is>
      </c>
      <c r="F200" t="inlineStr">
        <is>
          <t>Analyst judgment</t>
        </is>
      </c>
      <c r="G200" t="inlineStr">
        <is>
          <t>Roughly a large-cap industrial/auto multiple; secondary cross-check only.</t>
        </is>
      </c>
    </row>
    <row r="201">
      <c r="A201" t="inlineStr">
        <is>
          <t>pe_multiple_high</t>
        </is>
      </c>
      <c r="B201" t="inlineStr">
        <is>
          <t>Cross-check: forward P/E high</t>
        </is>
      </c>
      <c r="C201" s="4" t="n">
        <v>40</v>
      </c>
      <c r="D201" t="inlineStr">
        <is>
          <t>ratio</t>
        </is>
      </c>
      <c r="E201" t="inlineStr">
        <is>
          <t>judgment</t>
        </is>
      </c>
      <c r="F201" t="inlineStr">
        <is>
          <t>Analyst judgment</t>
        </is>
      </c>
      <c r="G201" t="inlineStr">
        <is>
          <t>Roughly a high-growth large-cap technology multiple; secondary cross-check only.</t>
        </is>
      </c>
    </row>
    <row r="202"/>
    <row r="203">
      <c r="A203" s="1" t="inlineStr">
        <is>
          <t>Revision history (edits made in the app this session)</t>
        </is>
      </c>
    </row>
    <row r="204">
      <c r="A204" s="3" t="inlineStr">
        <is>
          <t>timestamp</t>
        </is>
      </c>
      <c r="B204" s="3" t="inlineStr">
        <is>
          <t>item</t>
        </is>
      </c>
      <c r="C204" s="3" t="inlineStr">
        <is>
          <t>scenario</t>
        </is>
      </c>
      <c r="D204" s="3" t="inlineStr">
        <is>
          <t>year</t>
        </is>
      </c>
      <c r="E204" s="3" t="inlineStr">
        <is>
          <t>old</t>
        </is>
      </c>
      <c r="F204" s="3" t="inlineStr">
        <is>
          <t>new</t>
        </is>
      </c>
      <c r="G204" s="3" t="inlineStr">
        <is>
          <t>note</t>
        </is>
      </c>
    </row>
    <row r="205">
      <c r="A205" t="inlineStr"/>
      <c r="B205" t="inlineStr">
        <is>
          <t>No edits this session</t>
        </is>
      </c>
      <c r="C205" t="inlineStr"/>
      <c r="D205" t="inlineStr"/>
      <c r="E205" t="inlineStr"/>
      <c r="F205" t="inlineStr"/>
      <c r="G20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Reported historicals (USD m; KPIs in units/GWh) - FY2023A-FY2025A, H1 2026A, Q2 2026 balance sheet</t>
        </is>
      </c>
    </row>
    <row r="2">
      <c r="A2" s="3" t="inlineStr">
        <is>
          <t>Item ID</t>
        </is>
      </c>
      <c r="B2" s="3" t="inlineStr">
        <is>
          <t>Line item</t>
        </is>
      </c>
      <c r="C2" s="3" t="inlineStr">
        <is>
          <t>Statement</t>
        </is>
      </c>
      <c r="D2" s="3" t="inlineStr">
        <is>
          <t>FY2023</t>
        </is>
      </c>
      <c r="E2" s="3" t="inlineStr">
        <is>
          <t>FY2024</t>
        </is>
      </c>
      <c r="F2" s="3" t="inlineStr">
        <is>
          <t>FY2025</t>
        </is>
      </c>
      <c r="G2" s="3" t="inlineStr">
        <is>
          <t>H1_2026</t>
        </is>
      </c>
      <c r="H2" s="3" t="inlineStr">
        <is>
          <t>Q2_2026</t>
        </is>
      </c>
    </row>
    <row r="3">
      <c r="A3" t="inlineStr">
        <is>
          <t>rev_auto_sales</t>
        </is>
      </c>
      <c r="B3" t="inlineStr">
        <is>
          <t>Automotive sales</t>
        </is>
      </c>
      <c r="C3" t="inlineStr">
        <is>
          <t>IS</t>
        </is>
      </c>
      <c r="D3" s="4" t="n">
        <v>78509</v>
      </c>
      <c r="E3" s="4" t="n">
        <v>72480</v>
      </c>
      <c r="F3" s="4" t="n">
        <v>65821</v>
      </c>
      <c r="G3" s="4" t="n">
        <v>35479</v>
      </c>
    </row>
    <row r="4">
      <c r="A4" t="inlineStr">
        <is>
          <t>rev_reg_credits</t>
        </is>
      </c>
      <c r="B4" t="inlineStr">
        <is>
          <t>Automotive regulatory credits</t>
        </is>
      </c>
      <c r="C4" t="inlineStr">
        <is>
          <t>IS</t>
        </is>
      </c>
      <c r="D4" s="4" t="n">
        <v>1790</v>
      </c>
      <c r="E4" s="4" t="n">
        <v>2763</v>
      </c>
      <c r="F4" s="4" t="n">
        <v>1993</v>
      </c>
      <c r="G4" s="4" t="n">
        <v>526</v>
      </c>
    </row>
    <row r="5">
      <c r="A5" t="inlineStr">
        <is>
          <t>rev_auto_leasing</t>
        </is>
      </c>
      <c r="B5" t="inlineStr">
        <is>
          <t>Automotive leasing</t>
        </is>
      </c>
      <c r="C5" t="inlineStr">
        <is>
          <t>IS</t>
        </is>
      </c>
      <c r="D5" s="4" t="n">
        <v>2120</v>
      </c>
      <c r="E5" s="4" t="n">
        <v>1827</v>
      </c>
      <c r="F5" s="4" t="n">
        <v>1712</v>
      </c>
      <c r="G5" s="4" t="n">
        <v>745</v>
      </c>
    </row>
    <row r="6">
      <c r="A6" t="inlineStr">
        <is>
          <t>rev_energy</t>
        </is>
      </c>
      <c r="B6" t="inlineStr">
        <is>
          <t>Energy generation and storage revenue</t>
        </is>
      </c>
      <c r="C6" t="inlineStr">
        <is>
          <t>IS</t>
        </is>
      </c>
      <c r="D6" s="4" t="n">
        <v>6035</v>
      </c>
      <c r="E6" s="4" t="n">
        <v>10086</v>
      </c>
      <c r="F6" s="4" t="n">
        <v>12771</v>
      </c>
      <c r="G6" s="4" t="n">
        <v>5547</v>
      </c>
    </row>
    <row r="7">
      <c r="A7" t="inlineStr">
        <is>
          <t>rev_services</t>
        </is>
      </c>
      <c r="B7" t="inlineStr">
        <is>
          <t>Services and other revenue</t>
        </is>
      </c>
      <c r="C7" t="inlineStr">
        <is>
          <t>IS</t>
        </is>
      </c>
      <c r="D7" s="4" t="n">
        <v>8319</v>
      </c>
      <c r="E7" s="4" t="n">
        <v>10534</v>
      </c>
      <c r="F7" s="4" t="n">
        <v>12530</v>
      </c>
      <c r="G7" s="4" t="n">
        <v>8326</v>
      </c>
    </row>
    <row r="8">
      <c r="A8" t="inlineStr">
        <is>
          <t>rev_total</t>
        </is>
      </c>
      <c r="B8" t="inlineStr">
        <is>
          <t>Total revenues</t>
        </is>
      </c>
      <c r="C8" t="inlineStr">
        <is>
          <t>IS</t>
        </is>
      </c>
      <c r="D8" s="4" t="n">
        <v>96773</v>
      </c>
      <c r="E8" s="4" t="n">
        <v>97690</v>
      </c>
      <c r="F8" s="4" t="n">
        <v>94827</v>
      </c>
      <c r="G8" s="4" t="n">
        <v>50623</v>
      </c>
    </row>
    <row r="9">
      <c r="A9" t="inlineStr">
        <is>
          <t>cogs_auto_sales</t>
        </is>
      </c>
      <c r="B9" t="inlineStr">
        <is>
          <t>Cost of automotive sales</t>
        </is>
      </c>
      <c r="C9" t="inlineStr">
        <is>
          <t>IS</t>
        </is>
      </c>
      <c r="D9" s="4" t="n">
        <v>65121</v>
      </c>
      <c r="E9" s="4" t="n">
        <v>61870</v>
      </c>
      <c r="F9" s="4" t="n">
        <v>56267</v>
      </c>
      <c r="G9" s="4" t="n">
        <v>29482</v>
      </c>
    </row>
    <row r="10">
      <c r="A10" t="inlineStr">
        <is>
          <t>cogs_auto_leasing</t>
        </is>
      </c>
      <c r="B10" t="inlineStr">
        <is>
          <t>Cost of automotive leasing</t>
        </is>
      </c>
      <c r="C10" t="inlineStr">
        <is>
          <t>IS</t>
        </is>
      </c>
      <c r="D10" s="4" t="n">
        <v>1268</v>
      </c>
      <c r="E10" s="4" t="n">
        <v>1003</v>
      </c>
      <c r="F10" s="4" t="n">
        <v>898</v>
      </c>
      <c r="G10" s="4" t="n">
        <v>383</v>
      </c>
    </row>
    <row r="11">
      <c r="A11" t="inlineStr">
        <is>
          <t>cogs_energy</t>
        </is>
      </c>
      <c r="B11" t="inlineStr">
        <is>
          <t>Cost of energy generation and storage</t>
        </is>
      </c>
      <c r="C11" t="inlineStr">
        <is>
          <t>IS</t>
        </is>
      </c>
      <c r="D11" s="4" t="n">
        <v>4894</v>
      </c>
      <c r="E11" s="4" t="n">
        <v>7446</v>
      </c>
      <c r="F11" s="4" t="n">
        <v>8969</v>
      </c>
      <c r="G11" s="4" t="n">
        <v>3955</v>
      </c>
    </row>
    <row r="12">
      <c r="A12" t="inlineStr">
        <is>
          <t>cogs_services</t>
        </is>
      </c>
      <c r="B12" t="inlineStr">
        <is>
          <t>Cost of services and other</t>
        </is>
      </c>
      <c r="C12" t="inlineStr">
        <is>
          <t>IS</t>
        </is>
      </c>
      <c r="D12" s="4" t="n">
        <v>7830</v>
      </c>
      <c r="E12" s="4" t="n">
        <v>9921</v>
      </c>
      <c r="F12" s="4" t="n">
        <v>11599</v>
      </c>
      <c r="G12" s="4" t="n">
        <v>7332</v>
      </c>
    </row>
    <row r="13">
      <c r="A13" t="inlineStr">
        <is>
          <t>cogs_total</t>
        </is>
      </c>
      <c r="B13" t="inlineStr">
        <is>
          <t>Total cost of revenues</t>
        </is>
      </c>
      <c r="C13" t="inlineStr">
        <is>
          <t>IS</t>
        </is>
      </c>
      <c r="D13" s="4" t="n">
        <v>79113</v>
      </c>
      <c r="E13" s="4" t="n">
        <v>80240</v>
      </c>
      <c r="F13" s="4" t="n">
        <v>77733</v>
      </c>
      <c r="G13" s="4" t="n">
        <v>41152</v>
      </c>
    </row>
    <row r="14">
      <c r="A14" t="inlineStr">
        <is>
          <t>gross_profit</t>
        </is>
      </c>
      <c r="B14" t="inlineStr">
        <is>
          <t>Gross profit</t>
        </is>
      </c>
      <c r="C14" t="inlineStr">
        <is>
          <t>IS</t>
        </is>
      </c>
      <c r="D14" s="4" t="n">
        <v>17660</v>
      </c>
      <c r="E14" s="4" t="n">
        <v>17450</v>
      </c>
      <c r="F14" s="4" t="n">
        <v>17094</v>
      </c>
      <c r="G14" s="4" t="n">
        <v>9471</v>
      </c>
    </row>
    <row r="15">
      <c r="A15" t="inlineStr">
        <is>
          <t>rd</t>
        </is>
      </c>
      <c r="B15" t="inlineStr">
        <is>
          <t>Research and development</t>
        </is>
      </c>
      <c r="C15" t="inlineStr">
        <is>
          <t>IS</t>
        </is>
      </c>
      <c r="D15" s="4" t="n">
        <v>3969</v>
      </c>
      <c r="E15" s="4" t="n">
        <v>4540</v>
      </c>
      <c r="F15" s="4" t="n">
        <v>6411</v>
      </c>
      <c r="G15" s="4" t="n">
        <v>4317</v>
      </c>
    </row>
    <row r="16">
      <c r="A16" t="inlineStr">
        <is>
          <t>sga</t>
        </is>
      </c>
      <c r="B16" t="inlineStr">
        <is>
          <t>Selling, general and administrative</t>
        </is>
      </c>
      <c r="C16" t="inlineStr">
        <is>
          <t>IS</t>
        </is>
      </c>
      <c r="D16" s="4" t="n">
        <v>4800</v>
      </c>
      <c r="E16" s="4" t="n">
        <v>5150</v>
      </c>
      <c r="F16" s="4" t="n">
        <v>5834</v>
      </c>
      <c r="G16" s="4" t="n">
        <v>3815</v>
      </c>
    </row>
    <row r="17">
      <c r="A17" t="inlineStr">
        <is>
          <t>restructuring</t>
        </is>
      </c>
      <c r="B17" t="inlineStr">
        <is>
          <t>Restructuring and other (non-recurring)</t>
        </is>
      </c>
      <c r="C17" t="inlineStr">
        <is>
          <t>IS</t>
        </is>
      </c>
      <c r="D17" s="4" t="n">
        <v>0</v>
      </c>
      <c r="E17" s="4" t="n">
        <v>684</v>
      </c>
      <c r="F17" s="4" t="n">
        <v>494</v>
      </c>
      <c r="G17" s="4" t="n">
        <v>0</v>
      </c>
    </row>
    <row r="18">
      <c r="A18" t="inlineStr">
        <is>
          <t>opex_total</t>
        </is>
      </c>
      <c r="B18" t="inlineStr">
        <is>
          <t>Total operating expenses</t>
        </is>
      </c>
      <c r="C18" t="inlineStr">
        <is>
          <t>IS</t>
        </is>
      </c>
      <c r="D18" s="4" t="n">
        <v>8769</v>
      </c>
      <c r="E18" s="4" t="n">
        <v>10374</v>
      </c>
      <c r="F18" s="4" t="n">
        <v>12739</v>
      </c>
      <c r="G18" s="4" t="n">
        <v>8132</v>
      </c>
    </row>
    <row r="19">
      <c r="A19" t="inlineStr">
        <is>
          <t>ebit</t>
        </is>
      </c>
      <c r="B19" t="inlineStr">
        <is>
          <t>Income from operations</t>
        </is>
      </c>
      <c r="C19" t="inlineStr">
        <is>
          <t>IS</t>
        </is>
      </c>
      <c r="D19" s="4" t="n">
        <v>8891</v>
      </c>
      <c r="E19" s="4" t="n">
        <v>7076</v>
      </c>
      <c r="F19" s="4" t="n">
        <v>4355</v>
      </c>
      <c r="G19" s="4" t="n">
        <v>1339</v>
      </c>
    </row>
    <row r="20">
      <c r="A20" t="inlineStr">
        <is>
          <t>interest_income</t>
        </is>
      </c>
      <c r="B20" t="inlineStr">
        <is>
          <t>Interest income</t>
        </is>
      </c>
      <c r="C20" t="inlineStr">
        <is>
          <t>IS</t>
        </is>
      </c>
      <c r="D20" s="4" t="n">
        <v>1066</v>
      </c>
      <c r="E20" s="4" t="n">
        <v>1569</v>
      </c>
      <c r="F20" s="4" t="n">
        <v>1680</v>
      </c>
      <c r="G20" s="4" t="n">
        <v>856</v>
      </c>
    </row>
    <row r="21">
      <c r="A21" t="inlineStr">
        <is>
          <t>interest_expense</t>
        </is>
      </c>
      <c r="B21" t="inlineStr">
        <is>
          <t>Interest expense</t>
        </is>
      </c>
      <c r="C21" t="inlineStr">
        <is>
          <t>IS</t>
        </is>
      </c>
      <c r="D21" s="4" t="n">
        <v>156</v>
      </c>
      <c r="E21" s="4" t="n">
        <v>350</v>
      </c>
      <c r="F21" s="4" t="n">
        <v>338</v>
      </c>
      <c r="G21" s="4" t="n">
        <v>173</v>
      </c>
    </row>
    <row r="22">
      <c r="A22" t="inlineStr">
        <is>
          <t>other_income</t>
        </is>
      </c>
      <c r="B22" t="inlineStr">
        <is>
          <t>Other income (expense), net (non-recurring)</t>
        </is>
      </c>
      <c r="C22" t="inlineStr">
        <is>
          <t>IS</t>
        </is>
      </c>
      <c r="D22" s="4" t="n">
        <v>172</v>
      </c>
      <c r="E22" s="4" t="n">
        <v>695</v>
      </c>
      <c r="F22" s="4" t="n">
        <v>-419</v>
      </c>
      <c r="G22" s="4" t="n">
        <v>55</v>
      </c>
    </row>
    <row r="23">
      <c r="A23" t="inlineStr">
        <is>
          <t>pretax</t>
        </is>
      </c>
      <c r="B23" t="inlineStr">
        <is>
          <t>Income before income taxes</t>
        </is>
      </c>
      <c r="C23" t="inlineStr">
        <is>
          <t>IS</t>
        </is>
      </c>
      <c r="D23" s="4" t="n">
        <v>9973</v>
      </c>
      <c r="E23" s="4" t="n">
        <v>8990</v>
      </c>
      <c r="F23" s="4" t="n">
        <v>5278</v>
      </c>
      <c r="G23" s="4" t="n">
        <v>2077</v>
      </c>
    </row>
    <row r="24">
      <c r="A24" t="inlineStr">
        <is>
          <t>tax</t>
        </is>
      </c>
      <c r="B24" t="inlineStr">
        <is>
          <t>Provision for (benefit from) income taxes</t>
        </is>
      </c>
      <c r="C24" t="inlineStr">
        <is>
          <t>IS</t>
        </is>
      </c>
      <c r="D24" s="4" t="n">
        <v>-5001</v>
      </c>
      <c r="E24" s="4" t="n">
        <v>1837</v>
      </c>
      <c r="F24" s="4" t="n">
        <v>1423</v>
      </c>
      <c r="G24" s="4" t="n">
        <v>458</v>
      </c>
    </row>
    <row r="25">
      <c r="A25" t="inlineStr">
        <is>
          <t>net_income_total</t>
        </is>
      </c>
      <c r="B25" t="inlineStr">
        <is>
          <t>Net income (incl. NCI)</t>
        </is>
      </c>
      <c r="C25" t="inlineStr">
        <is>
          <t>IS</t>
        </is>
      </c>
      <c r="D25" s="4" t="n">
        <v>14974</v>
      </c>
      <c r="E25" s="4" t="n">
        <v>7153</v>
      </c>
      <c r="F25" s="4" t="n">
        <v>3855</v>
      </c>
      <c r="G25" s="4" t="n">
        <v>1619</v>
      </c>
    </row>
    <row r="26">
      <c r="A26" t="inlineStr">
        <is>
          <t>ni_nci</t>
        </is>
      </c>
      <c r="B26" t="inlineStr">
        <is>
          <t>Net income attributable to NCI</t>
        </is>
      </c>
      <c r="C26" t="inlineStr">
        <is>
          <t>IS</t>
        </is>
      </c>
      <c r="D26" s="4" t="n">
        <v>-23</v>
      </c>
      <c r="E26" s="4" t="n">
        <v>62</v>
      </c>
      <c r="F26" s="4" t="n">
        <v>61</v>
      </c>
      <c r="G26" s="4" t="n">
        <v>28</v>
      </c>
    </row>
    <row r="27">
      <c r="A27" t="inlineStr">
        <is>
          <t>ni_parent</t>
        </is>
      </c>
      <c r="B27" t="inlineStr">
        <is>
          <t>Net income attributable to common stockholders</t>
        </is>
      </c>
      <c r="C27" t="inlineStr">
        <is>
          <t>IS</t>
        </is>
      </c>
      <c r="D27" s="4" t="n">
        <v>14997</v>
      </c>
      <c r="E27" s="4" t="n">
        <v>7091</v>
      </c>
      <c r="F27" s="4" t="n">
        <v>3794</v>
      </c>
      <c r="G27" s="4" t="n">
        <v>1591</v>
      </c>
    </row>
    <row r="28">
      <c r="A28" t="inlineStr">
        <is>
          <t>shares_basic</t>
        </is>
      </c>
      <c r="B28" t="inlineStr">
        <is>
          <t>Weighted avg. basic shares (M)</t>
        </is>
      </c>
      <c r="C28" t="inlineStr">
        <is>
          <t>IS</t>
        </is>
      </c>
      <c r="D28" s="4" t="n">
        <v>3174</v>
      </c>
      <c r="E28" s="4" t="n">
        <v>3197</v>
      </c>
      <c r="F28" s="4" t="n">
        <v>3225</v>
      </c>
      <c r="G28" s="4" t="n">
        <v>3235</v>
      </c>
    </row>
    <row r="29">
      <c r="A29" t="inlineStr">
        <is>
          <t>shares_diluted</t>
        </is>
      </c>
      <c r="B29" t="inlineStr">
        <is>
          <t>Weighted avg. diluted shares (M)</t>
        </is>
      </c>
      <c r="C29" t="inlineStr">
        <is>
          <t>IS</t>
        </is>
      </c>
      <c r="D29" s="4" t="n">
        <v>3485</v>
      </c>
      <c r="E29" s="4" t="n">
        <v>3498</v>
      </c>
      <c r="F29" s="4" t="n">
        <v>3528</v>
      </c>
      <c r="G29" s="4" t="n">
        <v>3538</v>
      </c>
    </row>
    <row r="30">
      <c r="A30" t="inlineStr">
        <is>
          <t>shares_diluted_q2_2026</t>
        </is>
      </c>
      <c r="B30" t="inlineStr">
        <is>
          <t>Weighted avg. diluted shares, Q2 2026 (M)</t>
        </is>
      </c>
      <c r="C30" t="inlineStr">
        <is>
          <t>IS</t>
        </is>
      </c>
      <c r="G30" s="4" t="n">
        <v>3540</v>
      </c>
    </row>
    <row r="31">
      <c r="A31" t="inlineStr">
        <is>
          <t>da_cogs_auto</t>
        </is>
      </c>
      <c r="B31" t="inlineStr">
        <is>
          <t>D&amp;A in automotive segment cost of revenues</t>
        </is>
      </c>
      <c r="C31" t="inlineStr">
        <is>
          <t>SEG</t>
        </is>
      </c>
      <c r="D31" s="4" t="n">
        <v>3450</v>
      </c>
      <c r="E31" s="4" t="n">
        <v>3680</v>
      </c>
      <c r="F31" s="4" t="n">
        <v>3780</v>
      </c>
      <c r="G31" s="4" t="n">
        <v>1940</v>
      </c>
    </row>
    <row r="32">
      <c r="A32" t="inlineStr">
        <is>
          <t>da_cogs_energy</t>
        </is>
      </c>
      <c r="B32" t="inlineStr">
        <is>
          <t>D&amp;A in energy segment cost of revenues</t>
        </is>
      </c>
      <c r="C32" t="inlineStr">
        <is>
          <t>SEG</t>
        </is>
      </c>
      <c r="D32" s="4" t="n">
        <v>343</v>
      </c>
      <c r="E32" s="4" t="n">
        <v>377</v>
      </c>
      <c r="F32" s="4" t="n">
        <v>355</v>
      </c>
      <c r="G32" s="4" t="n">
        <v>192</v>
      </c>
    </row>
    <row r="33">
      <c r="A33" t="inlineStr">
        <is>
          <t>da_total</t>
        </is>
      </c>
      <c r="B33" t="inlineStr">
        <is>
          <t>Depreciation, amortization and impairment</t>
        </is>
      </c>
      <c r="C33" t="inlineStr">
        <is>
          <t>CF</t>
        </is>
      </c>
      <c r="D33" s="4" t="n">
        <v>4667</v>
      </c>
      <c r="E33" s="4" t="n">
        <v>5368</v>
      </c>
      <c r="F33" s="4" t="n">
        <v>6148</v>
      </c>
      <c r="G33" s="4" t="n">
        <v>3209</v>
      </c>
    </row>
    <row r="34">
      <c r="A34" t="inlineStr">
        <is>
          <t>sbc</t>
        </is>
      </c>
      <c r="B34" t="inlineStr">
        <is>
          <t>Stock-based compensation</t>
        </is>
      </c>
      <c r="C34" t="inlineStr">
        <is>
          <t>CF</t>
        </is>
      </c>
      <c r="D34" s="4" t="n">
        <v>1812</v>
      </c>
      <c r="E34" s="4" t="n">
        <v>1999</v>
      </c>
      <c r="F34" s="4" t="n">
        <v>2825</v>
      </c>
      <c r="G34" s="4" t="n">
        <v>2181</v>
      </c>
    </row>
    <row r="35">
      <c r="A35" t="inlineStr">
        <is>
          <t>cf_chg_ar</t>
        </is>
      </c>
      <c r="B35" t="inlineStr">
        <is>
          <t>Change in accounts receivable</t>
        </is>
      </c>
      <c r="C35" t="inlineStr">
        <is>
          <t>CF</t>
        </is>
      </c>
      <c r="D35" s="4" t="n">
        <v>-586</v>
      </c>
      <c r="E35" s="4" t="n">
        <v>-1083</v>
      </c>
      <c r="F35" s="4" t="n">
        <v>-261</v>
      </c>
      <c r="G35" s="4" t="n">
        <v>377</v>
      </c>
    </row>
    <row r="36">
      <c r="A36" t="inlineStr">
        <is>
          <t>cf_chg_inventory</t>
        </is>
      </c>
      <c r="B36" t="inlineStr">
        <is>
          <t>Change in inventory</t>
        </is>
      </c>
      <c r="C36" t="inlineStr">
        <is>
          <t>CF</t>
        </is>
      </c>
      <c r="D36" s="4" t="n">
        <v>-1195</v>
      </c>
      <c r="E36" s="4" t="n">
        <v>937</v>
      </c>
      <c r="F36" s="4" t="n">
        <v>-630</v>
      </c>
      <c r="G36" s="4" t="n">
        <v>-1663</v>
      </c>
    </row>
    <row r="37">
      <c r="A37" t="inlineStr">
        <is>
          <t>cf_chg_olv</t>
        </is>
      </c>
      <c r="B37" t="inlineStr">
        <is>
          <t>Change in operating lease vehicles</t>
        </is>
      </c>
      <c r="C37" t="inlineStr">
        <is>
          <t>CF</t>
        </is>
      </c>
      <c r="D37" s="4" t="n">
        <v>-1952</v>
      </c>
      <c r="E37" s="4" t="n">
        <v>-590</v>
      </c>
      <c r="F37" s="4" t="n">
        <v>-25</v>
      </c>
      <c r="G37" s="4" t="n">
        <v>260</v>
      </c>
    </row>
    <row r="38">
      <c r="A38" t="inlineStr">
        <is>
          <t>cf_chg_prepaid</t>
        </is>
      </c>
      <c r="B38" t="inlineStr">
        <is>
          <t>Change in prepaid expenses and other assets</t>
        </is>
      </c>
      <c r="C38" t="inlineStr">
        <is>
          <t>CF</t>
        </is>
      </c>
      <c r="D38" s="4" t="n">
        <v>-2652</v>
      </c>
      <c r="E38" s="4" t="n">
        <v>-3273</v>
      </c>
      <c r="F38" s="4" t="n">
        <v>-3181</v>
      </c>
      <c r="G38" s="4" t="n">
        <v>-1028</v>
      </c>
    </row>
    <row r="39">
      <c r="A39" t="inlineStr">
        <is>
          <t>cf_chg_ap_accr</t>
        </is>
      </c>
      <c r="B39" t="inlineStr">
        <is>
          <t>Change in AP, accrued and other liabilities</t>
        </is>
      </c>
      <c r="C39" t="inlineStr">
        <is>
          <t>CF</t>
        </is>
      </c>
      <c r="D39" s="4" t="n">
        <v>2605</v>
      </c>
      <c r="E39" s="4" t="n">
        <v>3588</v>
      </c>
      <c r="F39" s="4" t="n">
        <v>4376</v>
      </c>
      <c r="G39" s="4" t="n">
        <v>3341</v>
      </c>
    </row>
    <row r="40">
      <c r="A40" t="inlineStr">
        <is>
          <t>cf_chg_defrev</t>
        </is>
      </c>
      <c r="B40" t="inlineStr">
        <is>
          <t>Change in deferred revenue</t>
        </is>
      </c>
      <c r="C40" t="inlineStr">
        <is>
          <t>CF</t>
        </is>
      </c>
      <c r="D40" s="4" t="n">
        <v>1532</v>
      </c>
      <c r="E40" s="4" t="n">
        <v>502</v>
      </c>
      <c r="F40" s="4" t="n">
        <v>363</v>
      </c>
      <c r="G40" s="4" t="n">
        <v>491</v>
      </c>
    </row>
    <row r="41">
      <c r="A41" t="inlineStr">
        <is>
          <t>cfo</t>
        </is>
      </c>
      <c r="B41" t="inlineStr">
        <is>
          <t>Net cash provided by operating activities</t>
        </is>
      </c>
      <c r="C41" t="inlineStr">
        <is>
          <t>CF</t>
        </is>
      </c>
      <c r="D41" s="4" t="n">
        <v>13256</v>
      </c>
      <c r="E41" s="4" t="n">
        <v>14923</v>
      </c>
      <c r="F41" s="4" t="n">
        <v>14747</v>
      </c>
      <c r="G41" s="4" t="n">
        <v>8634</v>
      </c>
    </row>
    <row r="42">
      <c r="A42" t="inlineStr">
        <is>
          <t>capex</t>
        </is>
      </c>
      <c r="B42" t="inlineStr">
        <is>
          <t>Purchases of property and equipment (capex)</t>
        </is>
      </c>
      <c r="C42" t="inlineStr">
        <is>
          <t>CF</t>
        </is>
      </c>
      <c r="D42" s="4" t="n">
        <v>8899</v>
      </c>
      <c r="E42" s="4" t="n">
        <v>11342</v>
      </c>
      <c r="F42" s="4" t="n">
        <v>8527</v>
      </c>
      <c r="G42" s="4" t="n">
        <v>8282</v>
      </c>
    </row>
    <row r="43">
      <c r="A43" t="inlineStr">
        <is>
          <t>strategic_investment</t>
        </is>
      </c>
      <c r="B43" t="inlineStr">
        <is>
          <t>Purchase of SpaceX equity investment</t>
        </is>
      </c>
      <c r="C43" t="inlineStr">
        <is>
          <t>CF</t>
        </is>
      </c>
      <c r="D43" s="4" t="n">
        <v>0</v>
      </c>
      <c r="E43" s="4" t="n">
        <v>0</v>
      </c>
      <c r="F43" s="4" t="n">
        <v>0</v>
      </c>
      <c r="G43" s="4" t="n">
        <v>2002</v>
      </c>
    </row>
    <row r="44">
      <c r="A44" t="inlineStr">
        <is>
          <t>cfi</t>
        </is>
      </c>
      <c r="B44" t="inlineStr">
        <is>
          <t>Net cash used in investing activities</t>
        </is>
      </c>
      <c r="C44" t="inlineStr">
        <is>
          <t>CF</t>
        </is>
      </c>
      <c r="D44" s="4" t="n">
        <v>-15584</v>
      </c>
      <c r="E44" s="4" t="n">
        <v>-18787</v>
      </c>
      <c r="F44" s="4" t="n">
        <v>-15478</v>
      </c>
      <c r="G44" s="4" t="n">
        <v>-10951</v>
      </c>
    </row>
    <row r="45">
      <c r="A45" t="inlineStr">
        <is>
          <t>debt_issued</t>
        </is>
      </c>
      <c r="B45" t="inlineStr">
        <is>
          <t>Proceeds from issuances of debt</t>
        </is>
      </c>
      <c r="C45" t="inlineStr">
        <is>
          <t>CF</t>
        </is>
      </c>
      <c r="D45" s="4" t="n">
        <v>3931</v>
      </c>
      <c r="E45" s="4" t="n">
        <v>5744</v>
      </c>
      <c r="F45" s="4" t="n">
        <v>5586</v>
      </c>
      <c r="G45" s="4" t="n">
        <v>4679</v>
      </c>
    </row>
    <row r="46">
      <c r="A46" t="inlineStr">
        <is>
          <t>debt_repaid</t>
        </is>
      </c>
      <c r="B46" t="inlineStr">
        <is>
          <t>Repayments of debt</t>
        </is>
      </c>
      <c r="C46" t="inlineStr">
        <is>
          <t>CF</t>
        </is>
      </c>
      <c r="D46" s="4" t="n">
        <v>1351</v>
      </c>
      <c r="E46" s="4" t="n">
        <v>2500</v>
      </c>
      <c r="F46" s="4" t="n">
        <v>5546</v>
      </c>
      <c r="G46" s="4" t="n">
        <v>3922</v>
      </c>
    </row>
    <row r="47">
      <c r="A47" t="inlineStr">
        <is>
          <t>fl_principal</t>
        </is>
      </c>
      <c r="B47" t="inlineStr">
        <is>
          <t>Principal payments on finance leases</t>
        </is>
      </c>
      <c r="C47" t="inlineStr">
        <is>
          <t>CF</t>
        </is>
      </c>
      <c r="D47" s="4" t="n">
        <v>464</v>
      </c>
      <c r="E47" s="4" t="n">
        <v>381</v>
      </c>
      <c r="F47" s="4" t="n">
        <v>104</v>
      </c>
      <c r="G47" s="4" t="n">
        <v>37</v>
      </c>
    </row>
    <row r="48">
      <c r="A48" t="inlineStr">
        <is>
          <t>option_proceeds</t>
        </is>
      </c>
      <c r="B48" t="inlineStr">
        <is>
          <t>Proceeds from stock option exercises / other issuances</t>
        </is>
      </c>
      <c r="C48" t="inlineStr">
        <is>
          <t>CF</t>
        </is>
      </c>
      <c r="D48" s="4" t="n">
        <v>700</v>
      </c>
      <c r="E48" s="4" t="n">
        <v>1241</v>
      </c>
      <c r="F48" s="4" t="n">
        <v>1186</v>
      </c>
      <c r="G48" s="4" t="n">
        <v>468</v>
      </c>
    </row>
    <row r="49">
      <c r="A49" t="inlineStr">
        <is>
          <t>nci_distributions</t>
        </is>
      </c>
      <c r="B49" t="inlineStr">
        <is>
          <t>Distributions to noncontrolling interests</t>
        </is>
      </c>
      <c r="C49" t="inlineStr">
        <is>
          <t>CF</t>
        </is>
      </c>
      <c r="D49" s="4" t="n">
        <v>144</v>
      </c>
      <c r="E49" s="4" t="n">
        <v>104</v>
      </c>
      <c r="F49" s="4" t="n">
        <v>78</v>
      </c>
      <c r="G49" s="4" t="n">
        <v>91</v>
      </c>
    </row>
    <row r="50">
      <c r="A50" t="inlineStr">
        <is>
          <t>buybacks</t>
        </is>
      </c>
      <c r="B50" t="inlineStr">
        <is>
          <t>Share repurchases</t>
        </is>
      </c>
      <c r="C50" t="inlineStr">
        <is>
          <t>CF</t>
        </is>
      </c>
      <c r="D50" s="4" t="n">
        <v>0</v>
      </c>
      <c r="E50" s="4" t="n">
        <v>0</v>
      </c>
      <c r="F50" s="4" t="n">
        <v>0</v>
      </c>
      <c r="G50" s="4" t="n">
        <v>0</v>
      </c>
    </row>
    <row r="51">
      <c r="A51" t="inlineStr">
        <is>
          <t>cff</t>
        </is>
      </c>
      <c r="B51" t="inlineStr">
        <is>
          <t>Net cash provided by financing activities</t>
        </is>
      </c>
      <c r="C51" t="inlineStr">
        <is>
          <t>CF</t>
        </is>
      </c>
      <c r="D51" s="4" t="n">
        <v>2589</v>
      </c>
      <c r="E51" s="4" t="n">
        <v>3853</v>
      </c>
      <c r="F51" s="4" t="n">
        <v>1139</v>
      </c>
      <c r="G51" s="4" t="n">
        <v>1209</v>
      </c>
    </row>
    <row r="52">
      <c r="A52" t="inlineStr">
        <is>
          <t>cash</t>
        </is>
      </c>
      <c r="B52" t="inlineStr">
        <is>
          <t>Cash and cash equivalents</t>
        </is>
      </c>
      <c r="C52" t="inlineStr">
        <is>
          <t>BS</t>
        </is>
      </c>
      <c r="D52" s="4" t="n">
        <v>16398</v>
      </c>
      <c r="E52" s="4" t="n">
        <v>16139</v>
      </c>
      <c r="F52" s="4" t="n">
        <v>16513</v>
      </c>
      <c r="H52" s="4" t="n">
        <v>15219</v>
      </c>
    </row>
    <row r="53">
      <c r="A53" t="inlineStr">
        <is>
          <t>st_investments</t>
        </is>
      </c>
      <c r="B53" t="inlineStr">
        <is>
          <t>Short-term investments</t>
        </is>
      </c>
      <c r="C53" t="inlineStr">
        <is>
          <t>BS</t>
        </is>
      </c>
      <c r="D53" s="4" t="n">
        <v>12696</v>
      </c>
      <c r="E53" s="4" t="n">
        <v>20424</v>
      </c>
      <c r="F53" s="4" t="n">
        <v>27546</v>
      </c>
      <c r="H53" s="4" t="n">
        <v>28305</v>
      </c>
    </row>
    <row r="54">
      <c r="A54" t="inlineStr">
        <is>
          <t>ar</t>
        </is>
      </c>
      <c r="B54" t="inlineStr">
        <is>
          <t>Accounts receivable, net</t>
        </is>
      </c>
      <c r="C54" t="inlineStr">
        <is>
          <t>BS</t>
        </is>
      </c>
      <c r="D54" s="4" t="n">
        <v>3508</v>
      </c>
      <c r="E54" s="4" t="n">
        <v>4418</v>
      </c>
      <c r="F54" s="4" t="n">
        <v>4576</v>
      </c>
      <c r="H54" s="4" t="n">
        <v>4087</v>
      </c>
    </row>
    <row r="55">
      <c r="A55" t="inlineStr">
        <is>
          <t>inventory</t>
        </is>
      </c>
      <c r="B55" t="inlineStr">
        <is>
          <t>Inventory</t>
        </is>
      </c>
      <c r="C55" t="inlineStr">
        <is>
          <t>BS</t>
        </is>
      </c>
      <c r="D55" s="4" t="n">
        <v>13626</v>
      </c>
      <c r="E55" s="4" t="n">
        <v>12017</v>
      </c>
      <c r="F55" s="4" t="n">
        <v>12392</v>
      </c>
      <c r="H55" s="4" t="n">
        <v>13752</v>
      </c>
    </row>
    <row r="56">
      <c r="A56" t="inlineStr">
        <is>
          <t>prepaid</t>
        </is>
      </c>
      <c r="B56" t="inlineStr">
        <is>
          <t>Prepaid expenses and other current assets</t>
        </is>
      </c>
      <c r="C56" t="inlineStr">
        <is>
          <t>BS</t>
        </is>
      </c>
      <c r="D56" s="4" t="n">
        <v>3388</v>
      </c>
      <c r="E56" s="4" t="n">
        <v>5362</v>
      </c>
      <c r="F56" s="4" t="n">
        <v>7615</v>
      </c>
      <c r="H56" s="4" t="n">
        <v>7395</v>
      </c>
    </row>
    <row r="57">
      <c r="A57" t="inlineStr">
        <is>
          <t>olv</t>
        </is>
      </c>
      <c r="B57" t="inlineStr">
        <is>
          <t>Operating lease vehicles, net</t>
        </is>
      </c>
      <c r="C57" t="inlineStr">
        <is>
          <t>BS</t>
        </is>
      </c>
      <c r="D57" s="4" t="n">
        <v>5989</v>
      </c>
      <c r="E57" s="4" t="n">
        <v>5581</v>
      </c>
      <c r="F57" s="4" t="n">
        <v>4912</v>
      </c>
      <c r="H57" s="4" t="n">
        <v>4253</v>
      </c>
    </row>
    <row r="58">
      <c r="A58" t="inlineStr">
        <is>
          <t>energy_systems</t>
        </is>
      </c>
      <c r="B58" t="inlineStr">
        <is>
          <t>Energy generation and storage systems, net</t>
        </is>
      </c>
      <c r="C58" t="inlineStr">
        <is>
          <t>BS</t>
        </is>
      </c>
      <c r="D58" s="4" t="n">
        <v>5229</v>
      </c>
      <c r="E58" s="4" t="n">
        <v>4924</v>
      </c>
      <c r="F58" s="4" t="n">
        <v>4604</v>
      </c>
      <c r="H58" s="4" t="n">
        <v>4510</v>
      </c>
    </row>
    <row r="59">
      <c r="A59" t="inlineStr">
        <is>
          <t>ppe</t>
        </is>
      </c>
      <c r="B59" t="inlineStr">
        <is>
          <t>Property, plant and equipment, net</t>
        </is>
      </c>
      <c r="C59" t="inlineStr">
        <is>
          <t>BS</t>
        </is>
      </c>
      <c r="D59" s="4" t="n">
        <v>29725</v>
      </c>
      <c r="E59" s="4" t="n">
        <v>35836</v>
      </c>
      <c r="F59" s="4" t="n">
        <v>40643</v>
      </c>
      <c r="H59" s="4" t="n">
        <v>47255</v>
      </c>
    </row>
    <row r="60">
      <c r="A60" t="inlineStr">
        <is>
          <t>rou</t>
        </is>
      </c>
      <c r="B60" t="inlineStr">
        <is>
          <t>Operating lease right-of-use assets</t>
        </is>
      </c>
      <c r="C60" t="inlineStr">
        <is>
          <t>BS</t>
        </is>
      </c>
      <c r="D60" s="4" t="n">
        <v>4180</v>
      </c>
      <c r="E60" s="4" t="n">
        <v>5160</v>
      </c>
      <c r="F60" s="4" t="n">
        <v>6027</v>
      </c>
      <c r="H60" s="4" t="n">
        <v>6386</v>
      </c>
    </row>
    <row r="61">
      <c r="A61" t="inlineStr">
        <is>
          <t>digital_assets</t>
        </is>
      </c>
      <c r="B61" t="inlineStr">
        <is>
          <t>Digital assets</t>
        </is>
      </c>
      <c r="C61" t="inlineStr">
        <is>
          <t>BS</t>
        </is>
      </c>
      <c r="D61" s="4" t="n">
        <v>184</v>
      </c>
      <c r="E61" s="4" t="n">
        <v>1076</v>
      </c>
      <c r="F61" s="4" t="n">
        <v>1008</v>
      </c>
      <c r="H61" s="4" t="n">
        <v>674</v>
      </c>
    </row>
    <row r="62">
      <c r="A62" t="inlineStr">
        <is>
          <t>dta</t>
        </is>
      </c>
      <c r="B62" t="inlineStr">
        <is>
          <t>Deferred tax assets</t>
        </is>
      </c>
      <c r="C62" t="inlineStr">
        <is>
          <t>BS</t>
        </is>
      </c>
      <c r="D62" s="4" t="n">
        <v>6733</v>
      </c>
      <c r="E62" s="4" t="n">
        <v>6524</v>
      </c>
      <c r="F62" s="4" t="n">
        <v>6925</v>
      </c>
      <c r="H62" s="4" t="n">
        <v>7235</v>
      </c>
    </row>
    <row r="63">
      <c r="A63" t="inlineStr">
        <is>
          <t>other_nca</t>
        </is>
      </c>
      <c r="B63" t="inlineStr">
        <is>
          <t>Other non-current assets (incl. goodwill &amp; intangibles)</t>
        </is>
      </c>
      <c r="C63" t="inlineStr">
        <is>
          <t>BS</t>
        </is>
      </c>
      <c r="D63" s="4" t="n">
        <v>4962</v>
      </c>
      <c r="E63" s="4" t="n">
        <v>4609</v>
      </c>
      <c r="F63" s="4" t="n">
        <v>5045</v>
      </c>
      <c r="H63" s="4" t="n">
        <v>9453</v>
      </c>
    </row>
    <row r="64">
      <c r="A64" t="inlineStr">
        <is>
          <t>total_assets</t>
        </is>
      </c>
      <c r="B64" t="inlineStr">
        <is>
          <t>Total assets</t>
        </is>
      </c>
      <c r="C64" t="inlineStr">
        <is>
          <t>BS</t>
        </is>
      </c>
      <c r="D64" s="4" t="n">
        <v>106618</v>
      </c>
      <c r="E64" s="4" t="n">
        <v>122070</v>
      </c>
      <c r="F64" s="4" t="n">
        <v>137806</v>
      </c>
      <c r="H64" s="4" t="n">
        <v>148524</v>
      </c>
    </row>
    <row r="65">
      <c r="A65" t="inlineStr">
        <is>
          <t>ap</t>
        </is>
      </c>
      <c r="B65" t="inlineStr">
        <is>
          <t>Accounts payable</t>
        </is>
      </c>
      <c r="C65" t="inlineStr">
        <is>
          <t>BS</t>
        </is>
      </c>
      <c r="D65" s="4" t="n">
        <v>14431</v>
      </c>
      <c r="E65" s="4" t="n">
        <v>12474</v>
      </c>
      <c r="F65" s="4" t="n">
        <v>13371</v>
      </c>
      <c r="H65" s="4" t="n">
        <v>15324</v>
      </c>
    </row>
    <row r="66">
      <c r="A66" t="inlineStr">
        <is>
          <t>accrued_current</t>
        </is>
      </c>
      <c r="B66" t="inlineStr">
        <is>
          <t>Accrued liabilities and other (current)</t>
        </is>
      </c>
      <c r="C66" t="inlineStr">
        <is>
          <t>BS</t>
        </is>
      </c>
      <c r="D66" s="4" t="n">
        <v>9080</v>
      </c>
      <c r="E66" s="4" t="n">
        <v>10723</v>
      </c>
      <c r="F66" s="4" t="n">
        <v>13279</v>
      </c>
      <c r="H66" s="4" t="n">
        <v>15256</v>
      </c>
    </row>
    <row r="67">
      <c r="A67" t="inlineStr">
        <is>
          <t>deferred_rev_current</t>
        </is>
      </c>
      <c r="B67" t="inlineStr">
        <is>
          <t>Deferred revenue (current)</t>
        </is>
      </c>
      <c r="C67" t="inlineStr">
        <is>
          <t>BS</t>
        </is>
      </c>
      <c r="D67" s="4" t="n">
        <v>2864</v>
      </c>
      <c r="E67" s="4" t="n">
        <v>3168</v>
      </c>
      <c r="F67" s="4" t="n">
        <v>3424</v>
      </c>
      <c r="H67" s="4" t="n">
        <v>3427</v>
      </c>
    </row>
    <row r="68">
      <c r="A68" t="inlineStr">
        <is>
          <t>debt_fl_current</t>
        </is>
      </c>
      <c r="B68" t="inlineStr">
        <is>
          <t>Current portion of debt and finance leases</t>
        </is>
      </c>
      <c r="C68" t="inlineStr">
        <is>
          <t>BS</t>
        </is>
      </c>
      <c r="D68" s="4" t="n">
        <v>2373</v>
      </c>
      <c r="E68" s="4" t="n">
        <v>2456</v>
      </c>
      <c r="F68" s="4" t="n">
        <v>1640</v>
      </c>
      <c r="H68" s="4" t="n">
        <v>1418</v>
      </c>
    </row>
    <row r="69">
      <c r="A69" t="inlineStr">
        <is>
          <t>debt_fl_noncurrent</t>
        </is>
      </c>
      <c r="B69" t="inlineStr">
        <is>
          <t>Debt and finance leases, net of current portion</t>
        </is>
      </c>
      <c r="C69" t="inlineStr">
        <is>
          <t>BS</t>
        </is>
      </c>
      <c r="D69" s="4" t="n">
        <v>2857</v>
      </c>
      <c r="E69" s="4" t="n">
        <v>5757</v>
      </c>
      <c r="F69" s="4" t="n">
        <v>6736</v>
      </c>
      <c r="H69" s="4" t="n">
        <v>7924</v>
      </c>
    </row>
    <row r="70">
      <c r="A70" t="inlineStr">
        <is>
          <t>deferred_rev_noncurrent</t>
        </is>
      </c>
      <c r="B70" t="inlineStr">
        <is>
          <t>Deferred revenue, net of current portion</t>
        </is>
      </c>
      <c r="C70" t="inlineStr">
        <is>
          <t>BS</t>
        </is>
      </c>
      <c r="D70" s="4" t="n">
        <v>3251</v>
      </c>
      <c r="E70" s="4" t="n">
        <v>3317</v>
      </c>
      <c r="F70" s="4" t="n">
        <v>3631</v>
      </c>
      <c r="H70" s="4" t="n">
        <v>4073</v>
      </c>
    </row>
    <row r="71">
      <c r="A71" t="inlineStr">
        <is>
          <t>other_ltl</t>
        </is>
      </c>
      <c r="B71" t="inlineStr">
        <is>
          <t>Other long-term liabilities</t>
        </is>
      </c>
      <c r="C71" t="inlineStr">
        <is>
          <t>BS</t>
        </is>
      </c>
      <c r="D71" s="4" t="n">
        <v>8153</v>
      </c>
      <c r="E71" s="4" t="n">
        <v>10495</v>
      </c>
      <c r="F71" s="4" t="n">
        <v>12860</v>
      </c>
      <c r="H71" s="4" t="n">
        <v>13583</v>
      </c>
    </row>
    <row r="72">
      <c r="A72" t="inlineStr">
        <is>
          <t>total_liabilities</t>
        </is>
      </c>
      <c r="B72" t="inlineStr">
        <is>
          <t>Total liabilities</t>
        </is>
      </c>
      <c r="C72" t="inlineStr">
        <is>
          <t>BS</t>
        </is>
      </c>
      <c r="D72" s="4" t="n">
        <v>43009</v>
      </c>
      <c r="E72" s="4" t="n">
        <v>48390</v>
      </c>
      <c r="F72" s="4" t="n">
        <v>54941</v>
      </c>
      <c r="H72" s="4" t="n">
        <v>61005</v>
      </c>
    </row>
    <row r="73">
      <c r="A73" t="inlineStr">
        <is>
          <t>redeemable_nci</t>
        </is>
      </c>
      <c r="B73" t="inlineStr">
        <is>
          <t>Redeemable noncontrolling interests</t>
        </is>
      </c>
      <c r="C73" t="inlineStr">
        <is>
          <t>BS</t>
        </is>
      </c>
      <c r="D73" s="4" t="n">
        <v>242</v>
      </c>
      <c r="E73" s="4" t="n">
        <v>63</v>
      </c>
      <c r="F73" s="4" t="n">
        <v>58</v>
      </c>
      <c r="H73" s="4" t="n">
        <v>54</v>
      </c>
    </row>
    <row r="74">
      <c r="A74" t="inlineStr">
        <is>
          <t>equity_parent</t>
        </is>
      </c>
      <c r="B74" t="inlineStr">
        <is>
          <t>Total stockholders' equity</t>
        </is>
      </c>
      <c r="C74" t="inlineStr">
        <is>
          <t>BS</t>
        </is>
      </c>
      <c r="D74" s="4" t="n">
        <v>62634</v>
      </c>
      <c r="E74" s="4" t="n">
        <v>72913</v>
      </c>
      <c r="F74" s="4" t="n">
        <v>82137</v>
      </c>
      <c r="H74" s="4" t="n">
        <v>86858</v>
      </c>
    </row>
    <row r="75">
      <c r="A75" t="inlineStr">
        <is>
          <t>nci</t>
        </is>
      </c>
      <c r="B75" t="inlineStr">
        <is>
          <t>Noncontrolling interests in subsidiaries</t>
        </is>
      </c>
      <c r="C75" t="inlineStr">
        <is>
          <t>BS</t>
        </is>
      </c>
      <c r="D75" s="4" t="n">
        <v>733</v>
      </c>
      <c r="E75" s="4" t="n">
        <v>704</v>
      </c>
      <c r="F75" s="4" t="n">
        <v>670</v>
      </c>
      <c r="H75" s="4" t="n">
        <v>607</v>
      </c>
    </row>
    <row r="76">
      <c r="A76" t="inlineStr">
        <is>
          <t>total_le</t>
        </is>
      </c>
      <c r="B76" t="inlineStr">
        <is>
          <t>Total liabilities and equity</t>
        </is>
      </c>
      <c r="C76" t="inlineStr">
        <is>
          <t>BS</t>
        </is>
      </c>
      <c r="D76" s="4" t="n">
        <v>106618</v>
      </c>
      <c r="E76" s="4" t="n">
        <v>122070</v>
      </c>
      <c r="F76" s="4" t="n">
        <v>137806</v>
      </c>
      <c r="H76" s="4" t="n">
        <v>148524</v>
      </c>
    </row>
    <row r="77">
      <c r="A77" t="inlineStr">
        <is>
          <t>op_lease_liab</t>
        </is>
      </c>
      <c r="B77" t="inlineStr">
        <is>
          <t>Operating lease liabilities (in accrued &amp; other LT liabilities)</t>
        </is>
      </c>
      <c r="C77" t="inlineStr">
        <is>
          <t>BS</t>
        </is>
      </c>
      <c r="D77" s="4" t="n">
        <v>4343</v>
      </c>
      <c r="E77" s="4" t="n">
        <v>5410</v>
      </c>
      <c r="F77" s="4" t="n">
        <v>6343</v>
      </c>
      <c r="H77" s="4" t="n">
        <v>6738</v>
      </c>
    </row>
    <row r="78">
      <c r="A78" t="inlineStr">
        <is>
          <t>finance_lease_liab</t>
        </is>
      </c>
      <c r="B78" t="inlineStr">
        <is>
          <t>Finance lease liabilities (in debt &amp; finance leases)</t>
        </is>
      </c>
      <c r="C78" t="inlineStr">
        <is>
          <t>BS</t>
        </is>
      </c>
      <c r="D78" s="4" t="n">
        <v>573</v>
      </c>
      <c r="E78" s="4" t="n">
        <v>335</v>
      </c>
      <c r="F78" s="4" t="n">
        <v>223</v>
      </c>
      <c r="H78" s="4" t="n">
        <v>281</v>
      </c>
    </row>
    <row r="79">
      <c r="A79" t="inlineStr">
        <is>
          <t>shares_outstanding</t>
        </is>
      </c>
      <c r="B79" t="inlineStr">
        <is>
          <t>Common shares issued and outstanding (M)</t>
        </is>
      </c>
      <c r="C79" t="inlineStr">
        <is>
          <t>BS</t>
        </is>
      </c>
      <c r="D79" s="4" t="n">
        <v>3185</v>
      </c>
      <c r="E79" s="4" t="n">
        <v>3216</v>
      </c>
      <c r="F79" s="4" t="n">
        <v>3751</v>
      </c>
      <c r="H79" s="4" t="n">
        <v>3949</v>
      </c>
    </row>
    <row r="80">
      <c r="A80" t="inlineStr">
        <is>
          <t>deliveries_3y</t>
        </is>
      </c>
      <c r="B80" t="inlineStr">
        <is>
          <t>Model 3/Y deliveries (units)</t>
        </is>
      </c>
      <c r="C80" t="inlineStr">
        <is>
          <t>KPI</t>
        </is>
      </c>
      <c r="D80" s="4" t="n">
        <v>1739707</v>
      </c>
      <c r="E80" s="4" t="n">
        <v>1704093</v>
      </c>
      <c r="F80" s="4" t="n">
        <v>1585279</v>
      </c>
      <c r="G80" s="4" t="n">
        <v>809655</v>
      </c>
    </row>
    <row r="81">
      <c r="A81" t="inlineStr">
        <is>
          <t>deliveries_other</t>
        </is>
      </c>
      <c r="B81" t="inlineStr">
        <is>
          <t>Other models deliveries (S/X/Cybertruck/Semi/Cybercab) (units)</t>
        </is>
      </c>
      <c r="C81" t="inlineStr">
        <is>
          <t>KPI</t>
        </is>
      </c>
      <c r="D81" s="4" t="n">
        <v>68874</v>
      </c>
      <c r="E81" s="4" t="n">
        <v>85133</v>
      </c>
      <c r="F81" s="4" t="n">
        <v>50850</v>
      </c>
      <c r="G81" s="4" t="n">
        <v>28494</v>
      </c>
    </row>
    <row r="82">
      <c r="A82" t="inlineStr">
        <is>
          <t>storage_gwh</t>
        </is>
      </c>
      <c r="B82" t="inlineStr">
        <is>
          <t>Energy storage deployed (GWh)</t>
        </is>
      </c>
      <c r="C82" t="inlineStr">
        <is>
          <t>KPI</t>
        </is>
      </c>
      <c r="D82" s="5" t="n">
        <v>14.7</v>
      </c>
      <c r="E82" s="5" t="n">
        <v>31.4</v>
      </c>
      <c r="F82" s="5" t="n">
        <v>46.7</v>
      </c>
      <c r="G82" s="5" t="n">
        <v>22.3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Income statement (Base)</t>
        </is>
      </c>
    </row>
    <row r="2">
      <c r="A2" s="3" t="inlineStr">
        <is>
          <t>index</t>
        </is>
      </c>
      <c r="B2" s="3" t="inlineStr">
        <is>
          <t>FY2023A</t>
        </is>
      </c>
      <c r="C2" s="3" t="inlineStr">
        <is>
          <t>FY2024A</t>
        </is>
      </c>
      <c r="D2" s="3" t="inlineStr">
        <is>
          <t>FY2025A</t>
        </is>
      </c>
      <c r="E2" s="3" t="inlineStr">
        <is>
          <t>FY2026E</t>
        </is>
      </c>
      <c r="F2" s="3" t="inlineStr">
        <is>
          <t>FY2027E</t>
        </is>
      </c>
      <c r="G2" s="3" t="inlineStr">
        <is>
          <t>FY2028E</t>
        </is>
      </c>
      <c r="H2" s="3" t="inlineStr">
        <is>
          <t>FY2029E</t>
        </is>
      </c>
      <c r="I2" s="3" t="inlineStr">
        <is>
          <t>FY2030E</t>
        </is>
      </c>
    </row>
    <row r="3">
      <c r="A3" t="inlineStr">
        <is>
          <t>Automotive sales</t>
        </is>
      </c>
      <c r="B3" s="4" t="n">
        <v>78509</v>
      </c>
      <c r="C3" s="4" t="n">
        <v>72480</v>
      </c>
      <c r="D3" s="4" t="n">
        <v>65821</v>
      </c>
      <c r="E3" s="4" t="n">
        <v>71960</v>
      </c>
      <c r="F3" s="4" t="n">
        <v>76638</v>
      </c>
      <c r="G3" s="4" t="n">
        <v>82050</v>
      </c>
      <c r="H3" s="4" t="n">
        <v>87260</v>
      </c>
      <c r="I3" s="4" t="n">
        <v>91400</v>
      </c>
    </row>
    <row r="4">
      <c r="A4" t="inlineStr">
        <is>
          <t>Regulatory credits</t>
        </is>
      </c>
      <c r="B4" s="4" t="n">
        <v>1790</v>
      </c>
      <c r="C4" s="4" t="n">
        <v>2763</v>
      </c>
      <c r="D4" s="4" t="n">
        <v>1993</v>
      </c>
      <c r="E4" s="4" t="n">
        <v>850</v>
      </c>
      <c r="F4" s="4" t="n">
        <v>500</v>
      </c>
      <c r="G4" s="4" t="n">
        <v>350</v>
      </c>
      <c r="H4" s="4" t="n">
        <v>250</v>
      </c>
      <c r="I4" s="4" t="n">
        <v>200</v>
      </c>
    </row>
    <row r="5">
      <c r="A5" t="inlineStr">
        <is>
          <t>Automotive leasing</t>
        </is>
      </c>
      <c r="B5" s="4" t="n">
        <v>2120</v>
      </c>
      <c r="C5" s="4" t="n">
        <v>1827</v>
      </c>
      <c r="D5" s="4" t="n">
        <v>1712</v>
      </c>
      <c r="E5" s="4" t="n">
        <v>1450</v>
      </c>
      <c r="F5" s="4" t="n">
        <v>1350</v>
      </c>
      <c r="G5" s="4" t="n">
        <v>1300</v>
      </c>
      <c r="H5" s="4" t="n">
        <v>1300</v>
      </c>
      <c r="I5" s="4" t="n">
        <v>1300</v>
      </c>
    </row>
    <row r="6">
      <c r="A6" t="inlineStr">
        <is>
          <t>Services &amp; other</t>
        </is>
      </c>
      <c r="B6" s="4" t="n">
        <v>8319</v>
      </c>
      <c r="C6" s="4" t="n">
        <v>10534</v>
      </c>
      <c r="D6" s="4" t="n">
        <v>12530</v>
      </c>
      <c r="E6" s="4" t="n">
        <v>16915.5</v>
      </c>
      <c r="F6" s="4" t="n">
        <v>20298.6</v>
      </c>
      <c r="G6" s="4" t="n">
        <v>23952.348</v>
      </c>
      <c r="H6" s="4" t="n">
        <v>27784.72368</v>
      </c>
      <c r="I6" s="4" t="n">
        <v>31674.5849952</v>
      </c>
    </row>
    <row r="7">
      <c r="A7" t="inlineStr">
        <is>
          <t>Robotaxi / autonomy (isolated)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800</v>
      </c>
      <c r="G7" s="8" t="n">
        <v>2500</v>
      </c>
      <c r="H7" s="8" t="n">
        <v>5000</v>
      </c>
      <c r="I7" s="8" t="n">
        <v>8000</v>
      </c>
    </row>
    <row r="8">
      <c r="A8" t="inlineStr">
        <is>
          <t>Energy generation &amp; storage</t>
        </is>
      </c>
      <c r="B8" s="4" t="n">
        <v>6035</v>
      </c>
      <c r="C8" s="4" t="n">
        <v>10086</v>
      </c>
      <c r="D8" s="4" t="n">
        <v>12771</v>
      </c>
      <c r="E8" s="4" t="n">
        <v>12250</v>
      </c>
      <c r="F8" s="4" t="n">
        <v>14280</v>
      </c>
      <c r="G8" s="4" t="n">
        <v>16704</v>
      </c>
      <c r="H8" s="4" t="n">
        <v>18984</v>
      </c>
      <c r="I8" s="4" t="n">
        <v>20900</v>
      </c>
    </row>
    <row r="9">
      <c r="A9" s="9" t="inlineStr">
        <is>
          <t>Total revenue</t>
        </is>
      </c>
      <c r="B9" s="10" t="n">
        <v>96773</v>
      </c>
      <c r="C9" s="10" t="n">
        <v>97690</v>
      </c>
      <c r="D9" s="10" t="n">
        <v>94827</v>
      </c>
      <c r="E9" s="10" t="n">
        <v>103425.5</v>
      </c>
      <c r="F9" s="10" t="n">
        <v>113866.6</v>
      </c>
      <c r="G9" s="10" t="n">
        <v>126856.348</v>
      </c>
      <c r="H9" s="10" t="n">
        <v>140578.72368</v>
      </c>
      <c r="I9" s="10" t="n">
        <v>153474.5849952</v>
      </c>
    </row>
    <row r="10">
      <c r="A10" t="inlineStr">
        <is>
          <t>Cash cost of revenues (ex-D&amp;A)</t>
        </is>
      </c>
      <c r="B10" s="4" t="n">
        <v>75320</v>
      </c>
      <c r="C10" s="4" t="n">
        <v>76183</v>
      </c>
      <c r="D10" s="4" t="n">
        <v>73598</v>
      </c>
      <c r="E10" s="4" t="n">
        <v>80479.92</v>
      </c>
      <c r="F10" s="4" t="n">
        <v>88542.85800000001</v>
      </c>
      <c r="G10" s="4" t="n">
        <v>97892.97536</v>
      </c>
      <c r="H10" s="4" t="n">
        <v>107507.2261808</v>
      </c>
      <c r="I10" s="4" t="n">
        <v>116711.66799616</v>
      </c>
    </row>
    <row r="11">
      <c r="A11" t="inlineStr">
        <is>
          <t>Cash gross profit</t>
        </is>
      </c>
      <c r="B11" s="4" t="n">
        <v>21453</v>
      </c>
      <c r="C11" s="4" t="n">
        <v>21507</v>
      </c>
      <c r="D11" s="4" t="n">
        <v>21229</v>
      </c>
      <c r="E11" s="4" t="n">
        <v>22945.58</v>
      </c>
      <c r="F11" s="4" t="n">
        <v>25323.742</v>
      </c>
      <c r="G11" s="4" t="n">
        <v>28963.37264</v>
      </c>
      <c r="H11" s="4" t="n">
        <v>33071.49749919999</v>
      </c>
      <c r="I11" s="4" t="n">
        <v>36762.91699903998</v>
      </c>
    </row>
    <row r="12">
      <c r="A12" t="inlineStr">
        <is>
          <t>R&amp;D (ex-D&amp;A)</t>
        </is>
      </c>
      <c r="B12" s="4" t="n">
        <v>3573.412589804995</v>
      </c>
      <c r="C12" s="4" t="n">
        <v>3925.764705882353</v>
      </c>
      <c r="D12" s="4" t="n">
        <v>5357.072437729686</v>
      </c>
      <c r="E12" s="4" t="n">
        <v>7653.486999999999</v>
      </c>
      <c r="F12" s="4" t="n">
        <v>8198.395199999999</v>
      </c>
      <c r="G12" s="4" t="n">
        <v>8879.944360000001</v>
      </c>
      <c r="H12" s="4" t="n">
        <v>9559.35321024</v>
      </c>
      <c r="I12" s="4" t="n">
        <v>10129.3226096832</v>
      </c>
    </row>
    <row r="13">
      <c r="A13" t="inlineStr">
        <is>
          <t>SG&amp;A (ex-D&amp;A)</t>
        </is>
      </c>
      <c r="B13" s="4" t="n">
        <v>4321.587410195005</v>
      </c>
      <c r="C13" s="4" t="n">
        <v>4453.235294117647</v>
      </c>
      <c r="D13" s="4" t="n">
        <v>4874.927562270314</v>
      </c>
      <c r="E13" s="4" t="n">
        <v>6619.232</v>
      </c>
      <c r="F13" s="4" t="n">
        <v>7059.729200000001</v>
      </c>
      <c r="G13" s="4" t="n">
        <v>7611.38088</v>
      </c>
      <c r="H13" s="4" t="n">
        <v>8153.565973440001</v>
      </c>
      <c r="I13" s="4" t="n">
        <v>8594.576759731199</v>
      </c>
    </row>
    <row r="14">
      <c r="A14" t="inlineStr">
        <is>
          <t>Restructuring &amp; other (non-recurring)</t>
        </is>
      </c>
      <c r="B14" s="4" t="n">
        <v>0</v>
      </c>
      <c r="C14" s="4" t="n">
        <v>684</v>
      </c>
      <c r="D14" s="4" t="n">
        <v>494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</row>
    <row r="15">
      <c r="A15" s="9" t="inlineStr">
        <is>
          <t>EBITDA</t>
        </is>
      </c>
      <c r="B15" s="10" t="n">
        <v>13558</v>
      </c>
      <c r="C15" s="10" t="n">
        <v>12444</v>
      </c>
      <c r="D15" s="10" t="n">
        <v>10503</v>
      </c>
      <c r="E15" s="10" t="n">
        <v>8672.861000000003</v>
      </c>
      <c r="F15" s="10" t="n">
        <v>10065.6176</v>
      </c>
      <c r="G15" s="10" t="n">
        <v>12472.0474</v>
      </c>
      <c r="H15" s="10" t="n">
        <v>15358.57831551999</v>
      </c>
      <c r="I15" s="10" t="n">
        <v>18039.01762962558</v>
      </c>
    </row>
    <row r="16">
      <c r="A16" t="inlineStr">
        <is>
          <t>D&amp;A</t>
        </is>
      </c>
      <c r="B16" s="4" t="n">
        <v>4667</v>
      </c>
      <c r="C16" s="4" t="n">
        <v>5368</v>
      </c>
      <c r="D16" s="4" t="n">
        <v>6148</v>
      </c>
      <c r="E16" s="4" t="n">
        <v>6520.67</v>
      </c>
      <c r="F16" s="4" t="n">
        <v>8941.1829</v>
      </c>
      <c r="G16" s="4" t="n">
        <v>10649.229123</v>
      </c>
      <c r="H16" s="4" t="n">
        <v>11615.22933701</v>
      </c>
      <c r="I16" s="4" t="n">
        <v>12195.6495231987</v>
      </c>
    </row>
    <row r="17">
      <c r="A17" s="9" t="inlineStr">
        <is>
          <t>EBIT</t>
        </is>
      </c>
      <c r="B17" s="10" t="n">
        <v>8891</v>
      </c>
      <c r="C17" s="10" t="n">
        <v>7076</v>
      </c>
      <c r="D17" s="10" t="n">
        <v>4355</v>
      </c>
      <c r="E17" s="10" t="n">
        <v>2152.191000000003</v>
      </c>
      <c r="F17" s="10" t="n">
        <v>1124.434699999998</v>
      </c>
      <c r="G17" s="10" t="n">
        <v>1822.818276999998</v>
      </c>
      <c r="H17" s="10" t="n">
        <v>3743.348978509992</v>
      </c>
      <c r="I17" s="10" t="n">
        <v>5843.368106426882</v>
      </c>
    </row>
    <row r="18">
      <c r="A18" t="inlineStr">
        <is>
          <t>Interest income</t>
        </is>
      </c>
      <c r="B18" s="4" t="n">
        <v>1066</v>
      </c>
      <c r="C18" s="4" t="n">
        <v>1569</v>
      </c>
      <c r="D18" s="4" t="n">
        <v>1680</v>
      </c>
      <c r="E18" s="4" t="n">
        <v>1722.7069</v>
      </c>
      <c r="F18" s="4" t="n">
        <v>1317.40044083783</v>
      </c>
      <c r="G18" s="4" t="n">
        <v>1141.613007198365</v>
      </c>
      <c r="H18" s="4" t="n">
        <v>1251.102266749483</v>
      </c>
      <c r="I18" s="4" t="n">
        <v>1434.482139655223</v>
      </c>
    </row>
    <row r="19">
      <c r="A19" t="inlineStr">
        <is>
          <t>Interest expense</t>
        </is>
      </c>
      <c r="B19" s="4" t="n">
        <v>-156</v>
      </c>
      <c r="C19" s="4" t="n">
        <v>-350</v>
      </c>
      <c r="D19" s="4" t="n">
        <v>-338</v>
      </c>
      <c r="E19" s="4" t="n">
        <v>-343.416</v>
      </c>
      <c r="F19" s="4" t="n">
        <v>-386.876</v>
      </c>
      <c r="G19" s="4" t="n">
        <v>-386.876</v>
      </c>
      <c r="H19" s="4" t="n">
        <v>-407.376</v>
      </c>
      <c r="I19" s="4" t="n">
        <v>-304.876</v>
      </c>
    </row>
    <row r="20">
      <c r="A20" t="inlineStr">
        <is>
          <t>Other income, net (non-recurring)</t>
        </is>
      </c>
      <c r="B20" s="4" t="n">
        <v>172</v>
      </c>
      <c r="C20" s="4" t="n">
        <v>695</v>
      </c>
      <c r="D20" s="4" t="n">
        <v>-419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</row>
    <row r="21">
      <c r="A21" t="inlineStr">
        <is>
          <t>Pre-tax income</t>
        </is>
      </c>
      <c r="B21" s="8" t="n">
        <v>9973</v>
      </c>
      <c r="C21" s="8" t="n">
        <v>8990</v>
      </c>
      <c r="D21" s="8" t="n">
        <v>5278</v>
      </c>
      <c r="E21" s="8" t="n">
        <v>3531.481900000002</v>
      </c>
      <c r="F21" s="8" t="n">
        <v>2054.959140837828</v>
      </c>
      <c r="G21" s="8" t="n">
        <v>2577.555284198364</v>
      </c>
      <c r="H21" s="8" t="n">
        <v>4587.075245259475</v>
      </c>
      <c r="I21" s="8" t="n">
        <v>6972.974246082104</v>
      </c>
    </row>
    <row r="22">
      <c r="A22" t="inlineStr">
        <is>
          <t>Income tax</t>
        </is>
      </c>
      <c r="B22" s="8" t="n">
        <v>5001</v>
      </c>
      <c r="C22" s="8" t="n">
        <v>-1837</v>
      </c>
      <c r="D22" s="8" t="n">
        <v>-1423</v>
      </c>
      <c r="E22" s="8" t="n">
        <v>-918.1852940000007</v>
      </c>
      <c r="F22" s="8" t="n">
        <v>-513.739785209457</v>
      </c>
      <c r="G22" s="8" t="n">
        <v>-618.6132682076072</v>
      </c>
      <c r="H22" s="8" t="n">
        <v>-1055.027306409679</v>
      </c>
      <c r="I22" s="8" t="n">
        <v>-1603.784076598884</v>
      </c>
    </row>
    <row r="23">
      <c r="A23" s="9" t="inlineStr">
        <is>
          <t>Net income (incl. NCI)</t>
        </is>
      </c>
      <c r="B23" s="10" t="n">
        <v>14974</v>
      </c>
      <c r="C23" s="10" t="n">
        <v>7153</v>
      </c>
      <c r="D23" s="10" t="n">
        <v>3855</v>
      </c>
      <c r="E23" s="10" t="n">
        <v>2613.296606000002</v>
      </c>
      <c r="F23" s="10" t="n">
        <v>1541.219355628371</v>
      </c>
      <c r="G23" s="10" t="n">
        <v>1958.942015990756</v>
      </c>
      <c r="H23" s="10" t="n">
        <v>3532.047938849796</v>
      </c>
      <c r="I23" s="10" t="n">
        <v>5369.19016948322</v>
      </c>
    </row>
    <row r="24">
      <c r="A24" t="inlineStr">
        <is>
          <t>NCI share</t>
        </is>
      </c>
      <c r="B24" s="4" t="n">
        <v>23</v>
      </c>
      <c r="C24" s="4" t="n">
        <v>-62</v>
      </c>
      <c r="D24" s="4" t="n">
        <v>-61</v>
      </c>
      <c r="E24" s="4" t="n">
        <v>-60</v>
      </c>
      <c r="F24" s="4" t="n">
        <v>-60</v>
      </c>
      <c r="G24" s="4" t="n">
        <v>-60</v>
      </c>
      <c r="H24" s="4" t="n">
        <v>-60</v>
      </c>
      <c r="I24" s="4" t="n">
        <v>-60</v>
      </c>
    </row>
    <row r="25">
      <c r="A25" s="9" t="inlineStr">
        <is>
          <t>Net income to common</t>
        </is>
      </c>
      <c r="B25" s="10" t="n">
        <v>14997</v>
      </c>
      <c r="C25" s="10" t="n">
        <v>7091</v>
      </c>
      <c r="D25" s="10" t="n">
        <v>3794</v>
      </c>
      <c r="E25" s="10" t="n">
        <v>2553.296606000002</v>
      </c>
      <c r="F25" s="10" t="n">
        <v>1481.219355628371</v>
      </c>
      <c r="G25" s="10" t="n">
        <v>1898.942015990756</v>
      </c>
      <c r="H25" s="10" t="n">
        <v>3472.047938849796</v>
      </c>
      <c r="I25" s="10" t="n">
        <v>5309.19016948322</v>
      </c>
    </row>
    <row r="26">
      <c r="A26" t="inlineStr">
        <is>
          <t>Memo: GAAP gross profit</t>
        </is>
      </c>
      <c r="B26" s="4" t="n">
        <v>17660</v>
      </c>
      <c r="C26" s="4" t="n">
        <v>17450</v>
      </c>
      <c r="D26" s="4" t="n">
        <v>17094</v>
      </c>
      <c r="E26" s="4" t="n">
        <v>18576.7311</v>
      </c>
      <c r="F26" s="4" t="n">
        <v>19333.149457</v>
      </c>
      <c r="G26" s="4" t="n">
        <v>21828.38912759</v>
      </c>
      <c r="H26" s="4" t="n">
        <v>25289.29384340329</v>
      </c>
      <c r="I26" s="4" t="n">
        <v>28591.83181849685</v>
      </c>
    </row>
    <row r="27">
      <c r="A27" t="inlineStr">
        <is>
          <t>Memo: GAAP gross margin</t>
        </is>
      </c>
      <c r="B27" s="8" t="n">
        <v>0.1824889173633142</v>
      </c>
      <c r="C27" s="8" t="n">
        <v>0.178626266762207</v>
      </c>
      <c r="D27" s="8" t="n">
        <v>0.1802651143661615</v>
      </c>
      <c r="E27" s="8" t="n">
        <v>0.1796146124505079</v>
      </c>
      <c r="F27" s="8" t="n">
        <v>0.1697877117346087</v>
      </c>
      <c r="G27" s="8" t="n">
        <v>0.1720717131758357</v>
      </c>
      <c r="H27" s="8" t="n">
        <v>0.1798941773078651</v>
      </c>
      <c r="I27" s="8" t="n">
        <v>0.1862968505136605</v>
      </c>
    </row>
    <row r="28">
      <c r="A28" s="9" t="inlineStr">
        <is>
          <t>Memo: EBITDA margin</t>
        </is>
      </c>
      <c r="B28" s="11" t="n">
        <v>0.140101061246422</v>
      </c>
      <c r="C28" s="11" t="n">
        <v>0.1273825365953526</v>
      </c>
      <c r="D28" s="11" t="n">
        <v>0.1107595937865798</v>
      </c>
      <c r="E28" s="11" t="n">
        <v>0.08385611865545733</v>
      </c>
      <c r="F28" s="11" t="n">
        <v>0.0883983327859091</v>
      </c>
      <c r="G28" s="11" t="n">
        <v>0.09831630499090199</v>
      </c>
      <c r="H28" s="11" t="n">
        <v>0.1092525092949399</v>
      </c>
      <c r="I28" s="11" t="n">
        <v>0.1175374908502914</v>
      </c>
    </row>
    <row r="29">
      <c r="A29" t="inlineStr">
        <is>
          <t>Memo: SBC (non-cash, inside costs)</t>
        </is>
      </c>
      <c r="B29" s="4" t="n">
        <v>1812</v>
      </c>
      <c r="C29" s="4" t="n">
        <v>1999</v>
      </c>
      <c r="D29" s="4" t="n">
        <v>2825</v>
      </c>
      <c r="E29" s="4" t="n">
        <v>4343.871</v>
      </c>
      <c r="F29" s="4" t="n">
        <v>4554.664000000001</v>
      </c>
      <c r="G29" s="4" t="n">
        <v>4820.541224</v>
      </c>
      <c r="H29" s="4" t="n">
        <v>5060.83405248</v>
      </c>
      <c r="I29" s="4" t="n">
        <v>5218.1358898368</v>
      </c>
    </row>
    <row r="30">
      <c r="A30" t="inlineStr">
        <is>
          <t>Memo: diluted shares (M)</t>
        </is>
      </c>
      <c r="B30" s="4" t="n">
        <v>3485</v>
      </c>
      <c r="C30" s="4" t="n">
        <v>3498</v>
      </c>
      <c r="D30" s="4" t="n">
        <v>3528</v>
      </c>
      <c r="E30" s="4" t="n">
        <v>3550.62</v>
      </c>
      <c r="F30" s="4" t="n">
        <v>3571.92372</v>
      </c>
      <c r="G30" s="4" t="n">
        <v>3593.35526232</v>
      </c>
      <c r="H30" s="4" t="n">
        <v>3614.91539389392</v>
      </c>
      <c r="I30" s="4" t="n">
        <v>3636.604886257283</v>
      </c>
    </row>
    <row r="31">
      <c r="A31" t="inlineStr">
        <is>
          <t>Memo: diluted EPS ($)</t>
        </is>
      </c>
      <c r="B31" s="5" t="n">
        <v>4.303299856527977</v>
      </c>
      <c r="C31" s="5" t="n">
        <v>2.02715837621498</v>
      </c>
      <c r="D31" s="5" t="n">
        <v>1.075396825396825</v>
      </c>
      <c r="E31" s="5" t="n">
        <v>0.7191128890165667</v>
      </c>
      <c r="F31" s="5" t="n">
        <v>0.414683927132792</v>
      </c>
      <c r="G31" s="5" t="n">
        <v>0.5284593026197835</v>
      </c>
      <c r="H31" s="5" t="n">
        <v>0.9604783405759797</v>
      </c>
      <c r="I31" s="5" t="n">
        <v>1.459930439390496</v>
      </c>
    </row>
    <row r="32"/>
    <row r="33">
      <c r="A33" s="1" t="inlineStr">
        <is>
          <t>Balance sheet</t>
        </is>
      </c>
    </row>
    <row r="34">
      <c r="A34" s="3" t="inlineStr">
        <is>
          <t>index</t>
        </is>
      </c>
      <c r="B34" s="3" t="inlineStr">
        <is>
          <t>FY2023A</t>
        </is>
      </c>
      <c r="C34" s="3" t="inlineStr">
        <is>
          <t>FY2024A</t>
        </is>
      </c>
      <c r="D34" s="3" t="inlineStr">
        <is>
          <t>FY2025A</t>
        </is>
      </c>
      <c r="E34" s="3" t="inlineStr">
        <is>
          <t>FY2026E</t>
        </is>
      </c>
      <c r="F34" s="3" t="inlineStr">
        <is>
          <t>FY2027E</t>
        </is>
      </c>
      <c r="G34" s="3" t="inlineStr">
        <is>
          <t>FY2028E</t>
        </is>
      </c>
      <c r="H34" s="3" t="inlineStr">
        <is>
          <t>FY2029E</t>
        </is>
      </c>
      <c r="I34" s="3" t="inlineStr">
        <is>
          <t>FY2030E</t>
        </is>
      </c>
    </row>
    <row r="35">
      <c r="A35" t="inlineStr">
        <is>
          <t>Cash &amp; short-term investments</t>
        </is>
      </c>
      <c r="B35" s="4" t="n">
        <v>29094</v>
      </c>
      <c r="C35" s="4" t="n">
        <v>36563</v>
      </c>
      <c r="D35" s="4" t="n">
        <v>44059</v>
      </c>
      <c r="E35" s="4" t="n">
        <v>33693.10590378082</v>
      </c>
      <c r="F35" s="4" t="n">
        <v>29197.26361121138</v>
      </c>
      <c r="G35" s="4" t="n">
        <v>31997.50042837553</v>
      </c>
      <c r="H35" s="4" t="n">
        <v>36687.5227533305</v>
      </c>
      <c r="I35" s="4" t="n">
        <v>47816.14292058541</v>
      </c>
    </row>
    <row r="36">
      <c r="A36" t="inlineStr">
        <is>
          <t>Accounts receivable</t>
        </is>
      </c>
      <c r="B36" s="4" t="n">
        <v>3508</v>
      </c>
      <c r="C36" s="4" t="n">
        <v>4418</v>
      </c>
      <c r="D36" s="4" t="n">
        <v>4576</v>
      </c>
      <c r="E36" s="4" t="n">
        <v>4987.092602739726</v>
      </c>
      <c r="F36" s="4" t="n">
        <v>5490.553863013699</v>
      </c>
      <c r="G36" s="4" t="n">
        <v>6116.908835068493</v>
      </c>
      <c r="H36" s="4" t="n">
        <v>6778.590511693151</v>
      </c>
      <c r="I36" s="4" t="n">
        <v>7400.418344974027</v>
      </c>
    </row>
    <row r="37">
      <c r="A37" t="inlineStr">
        <is>
          <t>Inventory</t>
        </is>
      </c>
      <c r="B37" s="4" t="n">
        <v>13626</v>
      </c>
      <c r="C37" s="4" t="n">
        <v>12017</v>
      </c>
      <c r="D37" s="4" t="n">
        <v>12392</v>
      </c>
      <c r="E37" s="4" t="n">
        <v>13529.31054789041</v>
      </c>
      <c r="F37" s="4" t="n">
        <v>15073.55293589754</v>
      </c>
      <c r="G37" s="4" t="n">
        <v>16746.92385308017</v>
      </c>
      <c r="H37" s="4" t="n">
        <v>18383.13648353405</v>
      </c>
      <c r="I37" s="4" t="n">
        <v>19912.81160242225</v>
      </c>
    </row>
    <row r="38">
      <c r="A38" t="inlineStr">
        <is>
          <t>Prepaid &amp; other current assets</t>
        </is>
      </c>
      <c r="B38" s="4" t="n">
        <v>3388</v>
      </c>
      <c r="C38" s="4" t="n">
        <v>5362</v>
      </c>
      <c r="D38" s="4" t="n">
        <v>7615</v>
      </c>
      <c r="E38" s="4" t="n">
        <v>8305.067649999999</v>
      </c>
      <c r="F38" s="4" t="n">
        <v>9143.48798</v>
      </c>
      <c r="G38" s="4" t="n">
        <v>10186.5647444</v>
      </c>
      <c r="H38" s="4" t="n">
        <v>11288.471511504</v>
      </c>
      <c r="I38" s="4" t="n">
        <v>12324.00917511456</v>
      </c>
    </row>
    <row r="39">
      <c r="A39" t="inlineStr">
        <is>
          <t>Net fixed assets (PP&amp;E + lease vehicles + energy systems)</t>
        </is>
      </c>
      <c r="B39" s="4" t="n">
        <v>40943</v>
      </c>
      <c r="C39" s="4" t="n">
        <v>46341</v>
      </c>
      <c r="D39" s="4" t="n">
        <v>50159</v>
      </c>
      <c r="E39" s="4" t="n">
        <v>68778.33</v>
      </c>
      <c r="F39" s="4" t="n">
        <v>81917.1471</v>
      </c>
      <c r="G39" s="4" t="n">
        <v>89347.917977</v>
      </c>
      <c r="H39" s="4" t="n">
        <v>93812.68863999</v>
      </c>
      <c r="I39" s="4" t="n">
        <v>96697.0391167913</v>
      </c>
    </row>
    <row r="40">
      <c r="A40" t="inlineStr">
        <is>
          <t>Operating lease ROU assets</t>
        </is>
      </c>
      <c r="B40" s="4" t="n">
        <v>4180</v>
      </c>
      <c r="C40" s="4" t="n">
        <v>5160</v>
      </c>
      <c r="D40" s="4" t="n">
        <v>6027</v>
      </c>
      <c r="E40" s="4" t="n">
        <v>6534.440000000001</v>
      </c>
      <c r="F40" s="4" t="n">
        <v>7082.475200000001</v>
      </c>
      <c r="G40" s="4" t="n">
        <v>7674.353216000001</v>
      </c>
      <c r="H40" s="4" t="n">
        <v>8313.581473280003</v>
      </c>
      <c r="I40" s="4" t="n">
        <v>9003.947991142404</v>
      </c>
    </row>
    <row r="41">
      <c r="A41" t="inlineStr">
        <is>
          <t>Digital assets</t>
        </is>
      </c>
      <c r="B41" s="4" t="n">
        <v>184</v>
      </c>
      <c r="C41" s="4" t="n">
        <v>1076</v>
      </c>
      <c r="D41" s="4" t="n">
        <v>1008</v>
      </c>
      <c r="E41" s="4" t="n">
        <v>1008</v>
      </c>
      <c r="F41" s="4" t="n">
        <v>1008</v>
      </c>
      <c r="G41" s="4" t="n">
        <v>1008</v>
      </c>
      <c r="H41" s="4" t="n">
        <v>1008</v>
      </c>
      <c r="I41" s="4" t="n">
        <v>1008</v>
      </c>
    </row>
    <row r="42">
      <c r="A42" t="inlineStr">
        <is>
          <t>Deferred tax assets</t>
        </is>
      </c>
      <c r="B42" s="8" t="n">
        <v>6733</v>
      </c>
      <c r="C42" s="8" t="n">
        <v>6524</v>
      </c>
      <c r="D42" s="8" t="n">
        <v>6925</v>
      </c>
      <c r="E42" s="8" t="n">
        <v>6925</v>
      </c>
      <c r="F42" s="8" t="n">
        <v>6925</v>
      </c>
      <c r="G42" s="8" t="n">
        <v>6925</v>
      </c>
      <c r="H42" s="8" t="n">
        <v>6925</v>
      </c>
      <c r="I42" s="8" t="n">
        <v>6925</v>
      </c>
    </row>
    <row r="43">
      <c r="A43" t="inlineStr">
        <is>
          <t>Other non-current assets</t>
        </is>
      </c>
      <c r="B43" s="4" t="n">
        <v>4962</v>
      </c>
      <c r="C43" s="4" t="n">
        <v>4609</v>
      </c>
      <c r="D43" s="4" t="n">
        <v>5045</v>
      </c>
      <c r="E43" s="4" t="n">
        <v>7047</v>
      </c>
      <c r="F43" s="4" t="n">
        <v>7047</v>
      </c>
      <c r="G43" s="4" t="n">
        <v>7047</v>
      </c>
      <c r="H43" s="4" t="n">
        <v>7047</v>
      </c>
      <c r="I43" s="4" t="n">
        <v>7047</v>
      </c>
    </row>
    <row r="44">
      <c r="A44" s="9" t="inlineStr">
        <is>
          <t>TOTAL ASSETS</t>
        </is>
      </c>
      <c r="B44" s="10" t="n">
        <v>106618</v>
      </c>
      <c r="C44" s="10" t="n">
        <v>122070</v>
      </c>
      <c r="D44" s="10" t="n">
        <v>137806</v>
      </c>
      <c r="E44" s="10" t="n">
        <v>150807.3467044109</v>
      </c>
      <c r="F44" s="10" t="n">
        <v>162884.4806901226</v>
      </c>
      <c r="G44" s="10" t="n">
        <v>177050.1690539242</v>
      </c>
      <c r="H44" s="10" t="n">
        <v>190243.9913733317</v>
      </c>
      <c r="I44" s="10" t="n">
        <v>208134.3691510299</v>
      </c>
    </row>
    <row r="45">
      <c r="A45" t="inlineStr">
        <is>
          <t>Accounts payable</t>
        </is>
      </c>
      <c r="B45" s="4" t="n">
        <v>14431</v>
      </c>
      <c r="C45" s="4" t="n">
        <v>12474</v>
      </c>
      <c r="D45" s="4" t="n">
        <v>13371</v>
      </c>
      <c r="E45" s="4" t="n">
        <v>14598.63749841096</v>
      </c>
      <c r="F45" s="4" t="n">
        <v>16264.93340849425</v>
      </c>
      <c r="G45" s="4" t="n">
        <v>18070.56388270506</v>
      </c>
      <c r="H45" s="4" t="n">
        <v>19836.09916092678</v>
      </c>
      <c r="I45" s="4" t="n">
        <v>21486.67643697796</v>
      </c>
    </row>
    <row r="46">
      <c r="A46" t="inlineStr">
        <is>
          <t>Accrued &amp; other liabilities (ex-leases)</t>
        </is>
      </c>
      <c r="B46" s="4" t="n">
        <v>12890</v>
      </c>
      <c r="C46" s="4" t="n">
        <v>15808</v>
      </c>
      <c r="D46" s="4" t="n">
        <v>19796</v>
      </c>
      <c r="E46" s="4" t="n">
        <v>21595.2444</v>
      </c>
      <c r="F46" s="4" t="n">
        <v>23775.34608</v>
      </c>
      <c r="G46" s="4" t="n">
        <v>26487.6054624</v>
      </c>
      <c r="H46" s="4" t="n">
        <v>29352.837504384</v>
      </c>
      <c r="I46" s="4" t="n">
        <v>32045.49334699776</v>
      </c>
    </row>
    <row r="47">
      <c r="A47" t="inlineStr">
        <is>
          <t>Deferred revenue</t>
        </is>
      </c>
      <c r="B47" s="4" t="n">
        <v>6115</v>
      </c>
      <c r="C47" s="4" t="n">
        <v>6485</v>
      </c>
      <c r="D47" s="4" t="n">
        <v>7055</v>
      </c>
      <c r="E47" s="4" t="n">
        <v>7694.857199999999</v>
      </c>
      <c r="F47" s="4" t="n">
        <v>8471.67504</v>
      </c>
      <c r="G47" s="4" t="n">
        <v>9438.112291199999</v>
      </c>
      <c r="H47" s="4" t="n">
        <v>10459.057041792</v>
      </c>
      <c r="I47" s="4" t="n">
        <v>11418.50912364288</v>
      </c>
    </row>
    <row r="48">
      <c r="A48" t="inlineStr">
        <is>
          <t>Debt (ex-finance leases)</t>
        </is>
      </c>
      <c r="B48" s="4" t="n">
        <v>4657</v>
      </c>
      <c r="C48" s="4" t="n">
        <v>7878</v>
      </c>
      <c r="D48" s="4" t="n">
        <v>8153</v>
      </c>
      <c r="E48" s="4" t="n">
        <v>9153</v>
      </c>
      <c r="F48" s="4" t="n">
        <v>9153</v>
      </c>
      <c r="G48" s="4" t="n">
        <v>9653</v>
      </c>
      <c r="H48" s="4" t="n">
        <v>7153</v>
      </c>
      <c r="I48" s="4" t="n">
        <v>7653</v>
      </c>
    </row>
    <row r="49">
      <c r="A49" t="inlineStr">
        <is>
          <t>Finance lease liabilities</t>
        </is>
      </c>
      <c r="B49" s="4" t="n">
        <v>573</v>
      </c>
      <c r="C49" s="4" t="n">
        <v>335</v>
      </c>
      <c r="D49" s="4" t="n">
        <v>223</v>
      </c>
      <c r="E49" s="4" t="n">
        <v>283</v>
      </c>
      <c r="F49" s="4" t="n">
        <v>283</v>
      </c>
      <c r="G49" s="4" t="n">
        <v>283</v>
      </c>
      <c r="H49" s="4" t="n">
        <v>283</v>
      </c>
      <c r="I49" s="4" t="n">
        <v>283</v>
      </c>
    </row>
    <row r="50">
      <c r="A50" t="inlineStr">
        <is>
          <t>Operating lease liabilities</t>
        </is>
      </c>
      <c r="B50" s="4" t="n">
        <v>4343</v>
      </c>
      <c r="C50" s="4" t="n">
        <v>5410</v>
      </c>
      <c r="D50" s="4" t="n">
        <v>6343</v>
      </c>
      <c r="E50" s="4" t="n">
        <v>6850.440000000001</v>
      </c>
      <c r="F50" s="4" t="n">
        <v>7398.475200000001</v>
      </c>
      <c r="G50" s="4" t="n">
        <v>7990.353216000001</v>
      </c>
      <c r="H50" s="4" t="n">
        <v>8629.581473280003</v>
      </c>
      <c r="I50" s="4" t="n">
        <v>9319.947991142404</v>
      </c>
    </row>
    <row r="51">
      <c r="A51" t="inlineStr">
        <is>
          <t>Revolver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</row>
    <row r="52">
      <c r="A52" s="9" t="inlineStr">
        <is>
          <t>TOTAL LIABILITIES</t>
        </is>
      </c>
      <c r="B52" s="10" t="n">
        <v>43009</v>
      </c>
      <c r="C52" s="10" t="n">
        <v>48390</v>
      </c>
      <c r="D52" s="10" t="n">
        <v>54941</v>
      </c>
      <c r="E52" s="10" t="n">
        <v>60175.17909841095</v>
      </c>
      <c r="F52" s="10" t="n">
        <v>65346.42972849425</v>
      </c>
      <c r="G52" s="10" t="n">
        <v>71922.63485230507</v>
      </c>
      <c r="H52" s="10" t="n">
        <v>75713.57518038279</v>
      </c>
      <c r="I52" s="10" t="n">
        <v>82206.62689876099</v>
      </c>
    </row>
    <row r="53">
      <c r="A53" t="inlineStr">
        <is>
          <t>Stockholders' equity</t>
        </is>
      </c>
      <c r="B53" s="4" t="n">
        <v>62634</v>
      </c>
      <c r="C53" s="4" t="n">
        <v>72913</v>
      </c>
      <c r="D53" s="4" t="n">
        <v>82137</v>
      </c>
      <c r="E53" s="4" t="n">
        <v>89934.167606</v>
      </c>
      <c r="F53" s="4" t="n">
        <v>96870.05096162838</v>
      </c>
      <c r="G53" s="4" t="n">
        <v>104489.5342016191</v>
      </c>
      <c r="H53" s="4" t="n">
        <v>113922.4161929489</v>
      </c>
      <c r="I53" s="4" t="n">
        <v>125349.742252269</v>
      </c>
    </row>
    <row r="54">
      <c r="A54" t="inlineStr">
        <is>
          <t>Noncontrolling interests (incl. redeemable)</t>
        </is>
      </c>
      <c r="B54" s="4" t="n">
        <v>975</v>
      </c>
      <c r="C54" s="4" t="n">
        <v>767</v>
      </c>
      <c r="D54" s="4" t="n">
        <v>728</v>
      </c>
      <c r="E54" s="4" t="n">
        <v>698</v>
      </c>
      <c r="F54" s="4" t="n">
        <v>668</v>
      </c>
      <c r="G54" s="4" t="n">
        <v>638</v>
      </c>
      <c r="H54" s="4" t="n">
        <v>608</v>
      </c>
      <c r="I54" s="4" t="n">
        <v>578</v>
      </c>
    </row>
    <row r="55">
      <c r="A55" s="9" t="inlineStr">
        <is>
          <t>TOTAL EQUITY</t>
        </is>
      </c>
      <c r="B55" s="10" t="n">
        <v>63609</v>
      </c>
      <c r="C55" s="10" t="n">
        <v>73680</v>
      </c>
      <c r="D55" s="10" t="n">
        <v>82865</v>
      </c>
      <c r="E55" s="10" t="n">
        <v>90632.167606</v>
      </c>
      <c r="F55" s="10" t="n">
        <v>97538.05096162838</v>
      </c>
      <c r="G55" s="10" t="n">
        <v>105127.5342016191</v>
      </c>
      <c r="H55" s="10" t="n">
        <v>114530.4161929489</v>
      </c>
      <c r="I55" s="10" t="n">
        <v>125927.742252269</v>
      </c>
    </row>
    <row r="56">
      <c r="A56" s="9" t="inlineStr">
        <is>
          <t>TOTAL LIABILITIES &amp; EQUITY</t>
        </is>
      </c>
      <c r="B56" s="10" t="n">
        <v>106618</v>
      </c>
      <c r="C56" s="10" t="n">
        <v>122070</v>
      </c>
      <c r="D56" s="10" t="n">
        <v>137806</v>
      </c>
      <c r="E56" s="10" t="n">
        <v>150807.346704411</v>
      </c>
      <c r="F56" s="10" t="n">
        <v>162884.4806901226</v>
      </c>
      <c r="G56" s="10" t="n">
        <v>177050.1690539242</v>
      </c>
      <c r="H56" s="10" t="n">
        <v>190243.9913733317</v>
      </c>
      <c r="I56" s="10" t="n">
        <v>208134.36915103</v>
      </c>
    </row>
    <row r="57"/>
    <row r="58">
      <c r="A58" s="1" t="inlineStr">
        <is>
          <t>Cash flow statement</t>
        </is>
      </c>
    </row>
    <row r="59">
      <c r="A59" s="6" t="inlineStr">
        <is>
          <t>Historical CFO includes other non-cash items; historical CFI includes net purchases of short-term investments (forecast treats them as cash).</t>
        </is>
      </c>
    </row>
    <row r="60">
      <c r="A60" s="3" t="inlineStr">
        <is>
          <t>index</t>
        </is>
      </c>
      <c r="B60" s="3" t="inlineStr">
        <is>
          <t>FY2023A</t>
        </is>
      </c>
      <c r="C60" s="3" t="inlineStr">
        <is>
          <t>FY2024A</t>
        </is>
      </c>
      <c r="D60" s="3" t="inlineStr">
        <is>
          <t>FY2025A</t>
        </is>
      </c>
      <c r="E60" s="3" t="inlineStr">
        <is>
          <t>FY2026E</t>
        </is>
      </c>
      <c r="F60" s="3" t="inlineStr">
        <is>
          <t>FY2027E</t>
        </is>
      </c>
      <c r="G60" s="3" t="inlineStr">
        <is>
          <t>FY2028E</t>
        </is>
      </c>
      <c r="H60" s="3" t="inlineStr">
        <is>
          <t>FY2029E</t>
        </is>
      </c>
      <c r="I60" s="3" t="inlineStr">
        <is>
          <t>FY2030E</t>
        </is>
      </c>
    </row>
    <row r="61">
      <c r="A61" s="9" t="inlineStr">
        <is>
          <t>Net income (incl. NCI)</t>
        </is>
      </c>
      <c r="B61" s="10" t="n">
        <v>14974</v>
      </c>
      <c r="C61" s="10" t="n">
        <v>7153</v>
      </c>
      <c r="D61" s="10" t="n">
        <v>3855</v>
      </c>
      <c r="E61" s="10" t="n">
        <v>2613.296606000002</v>
      </c>
      <c r="F61" s="10" t="n">
        <v>1541.219355628371</v>
      </c>
      <c r="G61" s="10" t="n">
        <v>1958.942015990756</v>
      </c>
      <c r="H61" s="10" t="n">
        <v>3532.047938849796</v>
      </c>
      <c r="I61" s="10" t="n">
        <v>5369.19016948322</v>
      </c>
    </row>
    <row r="62">
      <c r="A62" t="inlineStr">
        <is>
          <t>D&amp;A</t>
        </is>
      </c>
      <c r="B62" s="4" t="n">
        <v>4667</v>
      </c>
      <c r="C62" s="4" t="n">
        <v>5368</v>
      </c>
      <c r="D62" s="4" t="n">
        <v>6148</v>
      </c>
      <c r="E62" s="4" t="n">
        <v>6520.67</v>
      </c>
      <c r="F62" s="4" t="n">
        <v>8941.1829</v>
      </c>
      <c r="G62" s="4" t="n">
        <v>10649.229123</v>
      </c>
      <c r="H62" s="4" t="n">
        <v>11615.22933701</v>
      </c>
      <c r="I62" s="4" t="n">
        <v>12195.6495231987</v>
      </c>
    </row>
    <row r="63">
      <c r="A63" t="inlineStr">
        <is>
          <t>Stock-based compensation</t>
        </is>
      </c>
      <c r="B63" s="4" t="n">
        <v>1812</v>
      </c>
      <c r="C63" s="4" t="n">
        <v>1999</v>
      </c>
      <c r="D63" s="4" t="n">
        <v>2825</v>
      </c>
      <c r="E63" s="4" t="n">
        <v>4343.871</v>
      </c>
      <c r="F63" s="4" t="n">
        <v>4554.664000000001</v>
      </c>
      <c r="G63" s="4" t="n">
        <v>4820.541224</v>
      </c>
      <c r="H63" s="4" t="n">
        <v>5060.83405248</v>
      </c>
      <c r="I63" s="4" t="n">
        <v>5218.1358898368</v>
      </c>
    </row>
    <row r="64">
      <c r="A64" t="inlineStr">
        <is>
          <t>Change in net working capital</t>
        </is>
      </c>
      <c r="B64" s="4" t="n">
        <v>-2248</v>
      </c>
      <c r="C64" s="4" t="n">
        <v>81</v>
      </c>
      <c r="D64" s="4" t="n">
        <v>642</v>
      </c>
      <c r="E64" s="4" t="n">
        <v>1428.268297780818</v>
      </c>
      <c r="F64" s="4" t="n">
        <v>1737.0914518022</v>
      </c>
      <c r="G64" s="4" t="n">
        <v>2141.524454173381</v>
      </c>
      <c r="H64" s="4" t="n">
        <v>2251.910996615174</v>
      </c>
      <c r="I64" s="4" t="n">
        <v>2115.64458473619</v>
      </c>
    </row>
    <row r="65">
      <c r="A65" s="9" t="inlineStr">
        <is>
          <t>Cash from operations</t>
        </is>
      </c>
      <c r="B65" s="10" t="n">
        <v>13256</v>
      </c>
      <c r="C65" s="10" t="n">
        <v>14923</v>
      </c>
      <c r="D65" s="10" t="n">
        <v>14747</v>
      </c>
      <c r="E65" s="10" t="n">
        <v>14906.10590378082</v>
      </c>
      <c r="F65" s="10" t="n">
        <v>16774.15770743057</v>
      </c>
      <c r="G65" s="10" t="n">
        <v>19570.23681716414</v>
      </c>
      <c r="H65" s="10" t="n">
        <v>22460.02232495497</v>
      </c>
      <c r="I65" s="10" t="n">
        <v>24898.62016725491</v>
      </c>
    </row>
    <row r="66">
      <c r="A66" t="inlineStr">
        <is>
          <t>Capital expenditures</t>
        </is>
      </c>
      <c r="B66" s="4" t="n">
        <v>-8899</v>
      </c>
      <c r="C66" s="4" t="n">
        <v>-11342</v>
      </c>
      <c r="D66" s="4" t="n">
        <v>-8527</v>
      </c>
      <c r="E66" s="4" t="n">
        <v>-25000</v>
      </c>
      <c r="F66" s="4" t="n">
        <v>-22000</v>
      </c>
      <c r="G66" s="4" t="n">
        <v>-18000</v>
      </c>
      <c r="H66" s="4" t="n">
        <v>-16000</v>
      </c>
      <c r="I66" s="4" t="n">
        <v>-15000</v>
      </c>
    </row>
    <row r="67">
      <c r="A67" t="inlineStr">
        <is>
          <t>Strategic investments</t>
        </is>
      </c>
      <c r="B67" s="8" t="n">
        <v>-0</v>
      </c>
      <c r="C67" s="8" t="n">
        <v>-0</v>
      </c>
      <c r="D67" s="8" t="n">
        <v>-0</v>
      </c>
      <c r="E67" s="8" t="n">
        <v>-2002</v>
      </c>
      <c r="F67" s="8" t="n">
        <v>-0</v>
      </c>
      <c r="G67" s="8" t="n">
        <v>-0</v>
      </c>
      <c r="H67" s="8" t="n">
        <v>-0</v>
      </c>
      <c r="I67" s="8" t="n">
        <v>-0</v>
      </c>
    </row>
    <row r="68">
      <c r="A68" s="9" t="inlineStr">
        <is>
          <t>Cash from investing</t>
        </is>
      </c>
      <c r="B68" s="10" t="n">
        <v>-15584</v>
      </c>
      <c r="C68" s="10" t="n">
        <v>-18787</v>
      </c>
      <c r="D68" s="10" t="n">
        <v>-15478</v>
      </c>
      <c r="E68" s="10" t="n">
        <v>-27002</v>
      </c>
      <c r="F68" s="10" t="n">
        <v>-22000</v>
      </c>
      <c r="G68" s="10" t="n">
        <v>-18000</v>
      </c>
      <c r="H68" s="10" t="n">
        <v>-16000</v>
      </c>
      <c r="I68" s="10" t="n">
        <v>-15000</v>
      </c>
    </row>
    <row r="69">
      <c r="A69" t="inlineStr">
        <is>
          <t>Debt issued</t>
        </is>
      </c>
      <c r="B69" s="4" t="n">
        <v>3931</v>
      </c>
      <c r="C69" s="4" t="n">
        <v>5744</v>
      </c>
      <c r="D69" s="4" t="n">
        <v>5586</v>
      </c>
      <c r="E69" s="4" t="n">
        <v>6000</v>
      </c>
      <c r="F69" s="4" t="n">
        <v>3000</v>
      </c>
      <c r="G69" s="4" t="n">
        <v>3000</v>
      </c>
      <c r="H69" s="4" t="n">
        <v>3000</v>
      </c>
      <c r="I69" s="4" t="n">
        <v>3000</v>
      </c>
    </row>
    <row r="70">
      <c r="A70" t="inlineStr">
        <is>
          <t>Debt repaid</t>
        </is>
      </c>
      <c r="B70" s="4" t="n">
        <v>-1351</v>
      </c>
      <c r="C70" s="4" t="n">
        <v>-2500</v>
      </c>
      <c r="D70" s="4" t="n">
        <v>-5546</v>
      </c>
      <c r="E70" s="4" t="n">
        <v>-5000</v>
      </c>
      <c r="F70" s="4" t="n">
        <v>-3000</v>
      </c>
      <c r="G70" s="4" t="n">
        <v>-2500</v>
      </c>
      <c r="H70" s="4" t="n">
        <v>-5500</v>
      </c>
      <c r="I70" s="4" t="n">
        <v>-2500</v>
      </c>
    </row>
    <row r="71">
      <c r="A71" t="inlineStr">
        <is>
          <t>Finance lease principal</t>
        </is>
      </c>
      <c r="B71" s="4" t="n">
        <v>-464</v>
      </c>
      <c r="C71" s="4" t="n">
        <v>-381</v>
      </c>
      <c r="D71" s="4" t="n">
        <v>-104</v>
      </c>
      <c r="E71" s="4" t="n">
        <v>-80</v>
      </c>
      <c r="F71" s="4" t="n">
        <v>-80</v>
      </c>
      <c r="G71" s="4" t="n">
        <v>-80</v>
      </c>
      <c r="H71" s="4" t="n">
        <v>-80</v>
      </c>
      <c r="I71" s="4" t="n">
        <v>-80</v>
      </c>
    </row>
    <row r="72">
      <c r="A72" t="inlineStr">
        <is>
          <t>Revolver draw / (repayment)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</row>
    <row r="73">
      <c r="A73" t="inlineStr">
        <is>
          <t>Option exercises / ESPP</t>
        </is>
      </c>
      <c r="B73" s="4" t="n">
        <v>700</v>
      </c>
      <c r="C73" s="4" t="n">
        <v>1241</v>
      </c>
      <c r="D73" s="4" t="n">
        <v>1186</v>
      </c>
      <c r="E73" s="4" t="n">
        <v>900</v>
      </c>
      <c r="F73" s="4" t="n">
        <v>900</v>
      </c>
      <c r="G73" s="4" t="n">
        <v>900</v>
      </c>
      <c r="H73" s="4" t="n">
        <v>900</v>
      </c>
      <c r="I73" s="4" t="n">
        <v>900</v>
      </c>
    </row>
    <row r="74">
      <c r="A74" t="inlineStr">
        <is>
          <t>Share repurchases</t>
        </is>
      </c>
      <c r="B74" s="4" t="n">
        <v>-0</v>
      </c>
      <c r="C74" s="4" t="n">
        <v>-0</v>
      </c>
      <c r="D74" s="4" t="n">
        <v>-0</v>
      </c>
      <c r="E74" s="4" t="n">
        <v>-0</v>
      </c>
      <c r="F74" s="4" t="n">
        <v>-0</v>
      </c>
      <c r="G74" s="4" t="n">
        <v>-0</v>
      </c>
      <c r="H74" s="4" t="n">
        <v>-0</v>
      </c>
      <c r="I74" s="4" t="n">
        <v>-0</v>
      </c>
    </row>
    <row r="75">
      <c r="A75" t="inlineStr">
        <is>
          <t>Distributions to NCI</t>
        </is>
      </c>
      <c r="B75" s="4" t="n">
        <v>-144</v>
      </c>
      <c r="C75" s="4" t="n">
        <v>-104</v>
      </c>
      <c r="D75" s="4" t="n">
        <v>-78</v>
      </c>
      <c r="E75" s="4" t="n">
        <v>-90</v>
      </c>
      <c r="F75" s="4" t="n">
        <v>-90</v>
      </c>
      <c r="G75" s="4" t="n">
        <v>-90</v>
      </c>
      <c r="H75" s="4" t="n">
        <v>-90</v>
      </c>
      <c r="I75" s="4" t="n">
        <v>-90</v>
      </c>
    </row>
    <row r="76">
      <c r="A76" s="9" t="inlineStr">
        <is>
          <t>Cash from financing</t>
        </is>
      </c>
      <c r="B76" s="10" t="n">
        <v>2589</v>
      </c>
      <c r="C76" s="10" t="n">
        <v>3853</v>
      </c>
      <c r="D76" s="10" t="n">
        <v>1139</v>
      </c>
      <c r="E76" s="10" t="n">
        <v>1730</v>
      </c>
      <c r="F76" s="10" t="n">
        <v>730</v>
      </c>
      <c r="G76" s="10" t="n">
        <v>1230</v>
      </c>
      <c r="H76" s="10" t="n">
        <v>-1770</v>
      </c>
      <c r="I76" s="10" t="n">
        <v>1230</v>
      </c>
    </row>
    <row r="77">
      <c r="A77" t="inlineStr">
        <is>
          <t>Net change in cash</t>
        </is>
      </c>
      <c r="E77" s="4" t="n">
        <v>-10365.89409621918</v>
      </c>
      <c r="F77" s="4" t="n">
        <v>-4495.842292569429</v>
      </c>
      <c r="G77" s="4" t="n">
        <v>2800.236817164139</v>
      </c>
      <c r="H77" s="4" t="n">
        <v>4690.022324954971</v>
      </c>
      <c r="I77" s="4" t="n">
        <v>11128.62016725491</v>
      </c>
    </row>
    <row r="78">
      <c r="A78" t="inlineStr">
        <is>
          <t>Beginning cash &amp; ST investments</t>
        </is>
      </c>
      <c r="E78" s="4" t="n">
        <v>44059</v>
      </c>
      <c r="F78" s="4" t="n">
        <v>33693.10590378082</v>
      </c>
      <c r="G78" s="4" t="n">
        <v>29197.26361121138</v>
      </c>
      <c r="H78" s="4" t="n">
        <v>31997.50042837553</v>
      </c>
      <c r="I78" s="4" t="n">
        <v>36687.5227533305</v>
      </c>
    </row>
    <row r="79">
      <c r="A79" s="9" t="inlineStr">
        <is>
          <t>Ending cash &amp; ST investments</t>
        </is>
      </c>
      <c r="B79" s="9" t="n"/>
      <c r="C79" s="9" t="n"/>
      <c r="D79" s="9" t="n"/>
      <c r="E79" s="10" t="n">
        <v>33693.10590378082</v>
      </c>
      <c r="F79" s="10" t="n">
        <v>29197.26361121139</v>
      </c>
      <c r="G79" s="10" t="n">
        <v>31997.50042837552</v>
      </c>
      <c r="H79" s="10" t="n">
        <v>36687.5227533305</v>
      </c>
      <c r="I79" s="10" t="n">
        <v>47816.14292058541</v>
      </c>
    </row>
    <row r="80">
      <c r="A80" t="inlineStr">
        <is>
          <t>Memo: minimum cash requirement</t>
        </is>
      </c>
      <c r="E80" s="4" t="n">
        <v>15513.825</v>
      </c>
      <c r="F80" s="4" t="n">
        <v>17079.99</v>
      </c>
      <c r="G80" s="4" t="n">
        <v>19028.4522</v>
      </c>
      <c r="H80" s="4" t="n">
        <v>21086.808552</v>
      </c>
      <c r="I80" s="4" t="n">
        <v>23021.18774928</v>
      </c>
    </row>
    <row r="81"/>
    <row r="82">
      <c r="A82" s="1" t="inlineStr">
        <is>
          <t>Revenue build</t>
        </is>
      </c>
    </row>
    <row r="83">
      <c r="A83" s="3" t="inlineStr">
        <is>
          <t>index</t>
        </is>
      </c>
      <c r="B83" s="3" t="inlineStr">
        <is>
          <t>FY2026E</t>
        </is>
      </c>
      <c r="C83" s="3" t="inlineStr">
        <is>
          <t>FY2027E</t>
        </is>
      </c>
      <c r="D83" s="3" t="inlineStr">
        <is>
          <t>FY2028E</t>
        </is>
      </c>
      <c r="E83" s="3" t="inlineStr">
        <is>
          <t>FY2029E</t>
        </is>
      </c>
      <c r="F83" s="3" t="inlineStr">
        <is>
          <t>FY2030E</t>
        </is>
      </c>
    </row>
    <row r="84">
      <c r="A84" t="inlineStr">
        <is>
          <t>Model 3/Y deliveries (k)</t>
        </is>
      </c>
      <c r="B84" s="4" t="n">
        <v>1650</v>
      </c>
      <c r="C84" s="4" t="n">
        <v>1720</v>
      </c>
      <c r="D84" s="4" t="n">
        <v>1790</v>
      </c>
      <c r="E84" s="4" t="n">
        <v>1850</v>
      </c>
      <c r="F84" s="4" t="n">
        <v>1900</v>
      </c>
    </row>
    <row r="85">
      <c r="A85" t="inlineStr">
        <is>
          <t>Other models deliveries (k)</t>
        </is>
      </c>
      <c r="B85" s="4" t="n">
        <v>58</v>
      </c>
      <c r="C85" s="4" t="n">
        <v>110</v>
      </c>
      <c r="D85" s="4" t="n">
        <v>190</v>
      </c>
      <c r="E85" s="4" t="n">
        <v>280</v>
      </c>
      <c r="F85" s="4" t="n">
        <v>360</v>
      </c>
    </row>
    <row r="86">
      <c r="A86" t="inlineStr">
        <is>
          <t>Automotive sales ($M)</t>
        </is>
      </c>
      <c r="B86" s="4" t="n">
        <v>71960</v>
      </c>
      <c r="C86" s="4" t="n">
        <v>76638</v>
      </c>
      <c r="D86" s="4" t="n">
        <v>82050</v>
      </c>
      <c r="E86" s="4" t="n">
        <v>87260</v>
      </c>
      <c r="F86" s="4" t="n">
        <v>91400</v>
      </c>
    </row>
    <row r="87">
      <c r="A87" t="inlineStr">
        <is>
          <t>Regulatory credits ($M)</t>
        </is>
      </c>
      <c r="B87" s="4" t="n">
        <v>850</v>
      </c>
      <c r="C87" s="4" t="n">
        <v>500</v>
      </c>
      <c r="D87" s="4" t="n">
        <v>350</v>
      </c>
      <c r="E87" s="4" t="n">
        <v>250</v>
      </c>
      <c r="F87" s="4" t="n">
        <v>200</v>
      </c>
    </row>
    <row r="88">
      <c r="A88" t="inlineStr">
        <is>
          <t>Automotive leasing ($M)</t>
        </is>
      </c>
      <c r="B88" s="4" t="n">
        <v>1450</v>
      </c>
      <c r="C88" s="4" t="n">
        <v>1350</v>
      </c>
      <c r="D88" s="4" t="n">
        <v>1300</v>
      </c>
      <c r="E88" s="4" t="n">
        <v>1300</v>
      </c>
      <c r="F88" s="4" t="n">
        <v>1300</v>
      </c>
    </row>
    <row r="89">
      <c r="A89" t="inlineStr">
        <is>
          <t>Services &amp; other ($M)</t>
        </is>
      </c>
      <c r="B89" s="4" t="n">
        <v>16915.5</v>
      </c>
      <c r="C89" s="4" t="n">
        <v>20298.6</v>
      </c>
      <c r="D89" s="4" t="n">
        <v>23952.348</v>
      </c>
      <c r="E89" s="4" t="n">
        <v>27784.72368</v>
      </c>
      <c r="F89" s="4" t="n">
        <v>31674.5849952</v>
      </c>
    </row>
    <row r="90">
      <c r="A90" t="inlineStr">
        <is>
          <t>Robotaxi / autonomy ($M)</t>
        </is>
      </c>
      <c r="B90" s="4" t="n">
        <v>0</v>
      </c>
      <c r="C90" s="4" t="n">
        <v>800</v>
      </c>
      <c r="D90" s="4" t="n">
        <v>2500</v>
      </c>
      <c r="E90" s="4" t="n">
        <v>5000</v>
      </c>
      <c r="F90" s="4" t="n">
        <v>8000</v>
      </c>
    </row>
    <row r="91">
      <c r="A91" t="inlineStr">
        <is>
          <t>Storage deployed (GWh)</t>
        </is>
      </c>
      <c r="B91" s="4" t="n">
        <v>50</v>
      </c>
      <c r="C91" s="4" t="n">
        <v>60</v>
      </c>
      <c r="D91" s="4" t="n">
        <v>72</v>
      </c>
      <c r="E91" s="4" t="n">
        <v>84</v>
      </c>
      <c r="F91" s="4" t="n">
        <v>95</v>
      </c>
    </row>
    <row r="92">
      <c r="A92" t="inlineStr">
        <is>
          <t>Energy revenue ($M)</t>
        </is>
      </c>
      <c r="B92" s="4" t="n">
        <v>12250</v>
      </c>
      <c r="C92" s="4" t="n">
        <v>14280</v>
      </c>
      <c r="D92" s="4" t="n">
        <v>16704</v>
      </c>
      <c r="E92" s="4" t="n">
        <v>18984</v>
      </c>
      <c r="F92" s="4" t="n">
        <v>20900</v>
      </c>
    </row>
    <row r="93">
      <c r="A93" s="9" t="inlineStr">
        <is>
          <t>Total revenue ($M)</t>
        </is>
      </c>
      <c r="B93" s="10" t="n">
        <v>103425.5</v>
      </c>
      <c r="C93" s="10" t="n">
        <v>113866.6</v>
      </c>
      <c r="D93" s="10" t="n">
        <v>126856.348</v>
      </c>
      <c r="E93" s="10" t="n">
        <v>140578.72368</v>
      </c>
      <c r="F93" s="10" t="n">
        <v>153474.5849952</v>
      </c>
    </row>
    <row r="94">
      <c r="A94" t="inlineStr">
        <is>
          <t>Revenue growth (%)</t>
        </is>
      </c>
      <c r="B94" s="8" t="n">
        <v>0.09067565144948175</v>
      </c>
      <c r="C94" s="8" t="n">
        <v>0.1009528597879634</v>
      </c>
      <c r="D94" s="8" t="n">
        <v>0.1140786499289519</v>
      </c>
      <c r="E94" s="8" t="n">
        <v>0.1081725581442718</v>
      </c>
      <c r="F94" s="8" t="n">
        <v>0.09173409017821865</v>
      </c>
    </row>
    <row r="95"/>
    <row r="96">
      <c r="A96" s="1" t="inlineStr">
        <is>
          <t>Fixed assets roll-forward</t>
        </is>
      </c>
    </row>
    <row r="97">
      <c r="A97" s="3" t="inlineStr">
        <is>
          <t>index</t>
        </is>
      </c>
      <c r="B97" s="3" t="inlineStr">
        <is>
          <t>FY2026E</t>
        </is>
      </c>
      <c r="C97" s="3" t="inlineStr">
        <is>
          <t>FY2027E</t>
        </is>
      </c>
      <c r="D97" s="3" t="inlineStr">
        <is>
          <t>FY2028E</t>
        </is>
      </c>
      <c r="E97" s="3" t="inlineStr">
        <is>
          <t>FY2029E</t>
        </is>
      </c>
      <c r="F97" s="3" t="inlineStr">
        <is>
          <t>FY2030E</t>
        </is>
      </c>
    </row>
    <row r="98">
      <c r="A98" t="inlineStr">
        <is>
          <t>Beginning net fixed assets</t>
        </is>
      </c>
      <c r="B98" s="4" t="n">
        <v>50159</v>
      </c>
      <c r="C98" s="4" t="n">
        <v>68778.33</v>
      </c>
      <c r="D98" s="4" t="n">
        <v>81917.1471</v>
      </c>
      <c r="E98" s="4" t="n">
        <v>89347.917977</v>
      </c>
      <c r="F98" s="4" t="n">
        <v>93812.68863999</v>
      </c>
    </row>
    <row r="99">
      <c r="A99" t="inlineStr">
        <is>
          <t>+ Capex</t>
        </is>
      </c>
      <c r="B99" s="4" t="n">
        <v>25000</v>
      </c>
      <c r="C99" s="4" t="n">
        <v>22000</v>
      </c>
      <c r="D99" s="4" t="n">
        <v>18000</v>
      </c>
      <c r="E99" s="4" t="n">
        <v>16000</v>
      </c>
      <c r="F99" s="4" t="n">
        <v>15000</v>
      </c>
    </row>
    <row r="100">
      <c r="A100" t="inlineStr">
        <is>
          <t>+ New finance leases</t>
        </is>
      </c>
      <c r="B100" s="4" t="n">
        <v>140</v>
      </c>
      <c r="C100" s="4" t="n">
        <v>80</v>
      </c>
      <c r="D100" s="4" t="n">
        <v>80</v>
      </c>
      <c r="E100" s="4" t="n">
        <v>80</v>
      </c>
      <c r="F100" s="4" t="n">
        <v>80</v>
      </c>
    </row>
    <row r="101">
      <c r="A101" t="inlineStr">
        <is>
          <t>- D&amp;A</t>
        </is>
      </c>
      <c r="B101" s="4" t="n">
        <v>-6520.67</v>
      </c>
      <c r="C101" s="4" t="n">
        <v>-8941.1829</v>
      </c>
      <c r="D101" s="4" t="n">
        <v>-10649.229123</v>
      </c>
      <c r="E101" s="4" t="n">
        <v>-11615.22933701</v>
      </c>
      <c r="F101" s="4" t="n">
        <v>-12195.6495231987</v>
      </c>
    </row>
    <row r="102">
      <c r="A102" s="9" t="inlineStr">
        <is>
          <t>Ending net fixed assets</t>
        </is>
      </c>
      <c r="B102" s="10" t="n">
        <v>68778.33</v>
      </c>
      <c r="C102" s="10" t="n">
        <v>81917.1471</v>
      </c>
      <c r="D102" s="10" t="n">
        <v>89347.917977</v>
      </c>
      <c r="E102" s="10" t="n">
        <v>93812.68863999</v>
      </c>
      <c r="F102" s="10" t="n">
        <v>96697.0391167913</v>
      </c>
    </row>
    <row r="103"/>
    <row r="104">
      <c r="A104" s="1" t="inlineStr">
        <is>
          <t>Debt &amp; lease roll-forward</t>
        </is>
      </c>
    </row>
    <row r="105">
      <c r="A105" s="3" t="inlineStr">
        <is>
          <t>index</t>
        </is>
      </c>
      <c r="B105" s="3" t="inlineStr">
        <is>
          <t>FY2026E</t>
        </is>
      </c>
      <c r="C105" s="3" t="inlineStr">
        <is>
          <t>FY2027E</t>
        </is>
      </c>
      <c r="D105" s="3" t="inlineStr">
        <is>
          <t>FY2028E</t>
        </is>
      </c>
      <c r="E105" s="3" t="inlineStr">
        <is>
          <t>FY2029E</t>
        </is>
      </c>
      <c r="F105" s="3" t="inlineStr">
        <is>
          <t>FY2030E</t>
        </is>
      </c>
    </row>
    <row r="106">
      <c r="A106" t="inlineStr">
        <is>
          <t>Debt: beginning</t>
        </is>
      </c>
      <c r="B106" s="4" t="n">
        <v>8153</v>
      </c>
      <c r="C106" s="4" t="n">
        <v>9153</v>
      </c>
      <c r="D106" s="4" t="n">
        <v>9153</v>
      </c>
      <c r="E106" s="4" t="n">
        <v>9653</v>
      </c>
      <c r="F106" s="4" t="n">
        <v>7153</v>
      </c>
    </row>
    <row r="107">
      <c r="A107" t="inlineStr">
        <is>
          <t>Debt: issued</t>
        </is>
      </c>
      <c r="B107" s="4" t="n">
        <v>6000</v>
      </c>
      <c r="C107" s="4" t="n">
        <v>3000</v>
      </c>
      <c r="D107" s="4" t="n">
        <v>3000</v>
      </c>
      <c r="E107" s="4" t="n">
        <v>3000</v>
      </c>
      <c r="F107" s="4" t="n">
        <v>3000</v>
      </c>
    </row>
    <row r="108">
      <c r="A108" t="inlineStr">
        <is>
          <t>Debt: repaid</t>
        </is>
      </c>
      <c r="B108" s="4" t="n">
        <v>-5000</v>
      </c>
      <c r="C108" s="4" t="n">
        <v>-3000</v>
      </c>
      <c r="D108" s="4" t="n">
        <v>-2500</v>
      </c>
      <c r="E108" s="4" t="n">
        <v>-5500</v>
      </c>
      <c r="F108" s="4" t="n">
        <v>-2500</v>
      </c>
    </row>
    <row r="109">
      <c r="A109" s="9" t="inlineStr">
        <is>
          <t>Debt: ending</t>
        </is>
      </c>
      <c r="B109" s="10" t="n">
        <v>9153</v>
      </c>
      <c r="C109" s="10" t="n">
        <v>9153</v>
      </c>
      <c r="D109" s="10" t="n">
        <v>9653</v>
      </c>
      <c r="E109" s="10" t="n">
        <v>7153</v>
      </c>
      <c r="F109" s="10" t="n">
        <v>7653</v>
      </c>
    </row>
    <row r="110">
      <c r="A110" t="inlineStr">
        <is>
          <t>Finance leases: beginning</t>
        </is>
      </c>
      <c r="B110" s="4" t="n">
        <v>223</v>
      </c>
      <c r="C110" s="4" t="n">
        <v>283</v>
      </c>
      <c r="D110" s="4" t="n">
        <v>283</v>
      </c>
      <c r="E110" s="4" t="n">
        <v>283</v>
      </c>
      <c r="F110" s="4" t="n">
        <v>283</v>
      </c>
    </row>
    <row r="111">
      <c r="A111" t="inlineStr">
        <is>
          <t>Finance leases: additions</t>
        </is>
      </c>
      <c r="B111" s="4" t="n">
        <v>140</v>
      </c>
      <c r="C111" s="4" t="n">
        <v>80</v>
      </c>
      <c r="D111" s="4" t="n">
        <v>80</v>
      </c>
      <c r="E111" s="4" t="n">
        <v>80</v>
      </c>
      <c r="F111" s="4" t="n">
        <v>80</v>
      </c>
    </row>
    <row r="112">
      <c r="A112" t="inlineStr">
        <is>
          <t>Finance leases: principal paid</t>
        </is>
      </c>
      <c r="B112" s="4" t="n">
        <v>-80</v>
      </c>
      <c r="C112" s="4" t="n">
        <v>-80</v>
      </c>
      <c r="D112" s="4" t="n">
        <v>-80</v>
      </c>
      <c r="E112" s="4" t="n">
        <v>-80</v>
      </c>
      <c r="F112" s="4" t="n">
        <v>-80</v>
      </c>
    </row>
    <row r="113">
      <c r="A113" s="9" t="inlineStr">
        <is>
          <t>Finance leases: ending</t>
        </is>
      </c>
      <c r="B113" s="10" t="n">
        <v>283</v>
      </c>
      <c r="C113" s="10" t="n">
        <v>283</v>
      </c>
      <c r="D113" s="10" t="n">
        <v>283</v>
      </c>
      <c r="E113" s="10" t="n">
        <v>283</v>
      </c>
      <c r="F113" s="10" t="n">
        <v>283</v>
      </c>
    </row>
    <row r="114">
      <c r="A114" t="inlineStr">
        <is>
          <t>Operating leases: beginning</t>
        </is>
      </c>
      <c r="B114" s="4" t="n">
        <v>6343</v>
      </c>
      <c r="C114" s="4" t="n">
        <v>6850.440000000001</v>
      </c>
      <c r="D114" s="4" t="n">
        <v>7398.475200000001</v>
      </c>
      <c r="E114" s="4" t="n">
        <v>7990.353216000001</v>
      </c>
      <c r="F114" s="4" t="n">
        <v>8629.581473280003</v>
      </c>
    </row>
    <row r="115">
      <c r="A115" t="inlineStr">
        <is>
          <t>Operating leases: net additions</t>
        </is>
      </c>
      <c r="B115" s="4" t="n">
        <v>507.4400000000005</v>
      </c>
      <c r="C115" s="4" t="n">
        <v>548.0352000000003</v>
      </c>
      <c r="D115" s="4" t="n">
        <v>591.8780160000006</v>
      </c>
      <c r="E115" s="4" t="n">
        <v>639.2282572800013</v>
      </c>
      <c r="F115" s="4" t="n">
        <v>690.3665178624015</v>
      </c>
    </row>
    <row r="116">
      <c r="A116" s="9" t="inlineStr">
        <is>
          <t>Operating leases: ending</t>
        </is>
      </c>
      <c r="B116" s="10" t="n">
        <v>6850.440000000001</v>
      </c>
      <c r="C116" s="10" t="n">
        <v>7398.475200000001</v>
      </c>
      <c r="D116" s="10" t="n">
        <v>7990.353216000001</v>
      </c>
      <c r="E116" s="10" t="n">
        <v>8629.581473280003</v>
      </c>
      <c r="F116" s="10" t="n">
        <v>9319.947991142404</v>
      </c>
    </row>
    <row r="117">
      <c r="A117" t="inlineStr">
        <is>
          <t>Revolver: beginning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</row>
    <row r="118">
      <c r="A118" t="inlineStr">
        <is>
          <t>Revolver: draw/(repay)</t>
        </is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</row>
    <row r="119">
      <c r="A119" s="9" t="inlineStr">
        <is>
          <t>Revolver: ending</t>
        </is>
      </c>
      <c r="B119" s="10" t="n">
        <v>0</v>
      </c>
      <c r="C119" s="10" t="n">
        <v>0</v>
      </c>
      <c r="D119" s="10" t="n">
        <v>0</v>
      </c>
      <c r="E119" s="10" t="n">
        <v>0</v>
      </c>
      <c r="F119" s="10" t="n">
        <v>0</v>
      </c>
    </row>
    <row r="120">
      <c r="A120" t="inlineStr">
        <is>
          <t>Interest expense</t>
        </is>
      </c>
      <c r="B120" s="4" t="n">
        <v>343.416</v>
      </c>
      <c r="C120" s="4" t="n">
        <v>386.876</v>
      </c>
      <c r="D120" s="4" t="n">
        <v>386.876</v>
      </c>
      <c r="E120" s="4" t="n">
        <v>407.376</v>
      </c>
      <c r="F120" s="4" t="n">
        <v>304.876</v>
      </c>
    </row>
    <row r="121"/>
    <row r="122">
      <c r="A122" s="1" t="inlineStr">
        <is>
          <t>Equity &amp; share roll-forward</t>
        </is>
      </c>
    </row>
    <row r="123">
      <c r="A123" s="3" t="inlineStr">
        <is>
          <t>index</t>
        </is>
      </c>
      <c r="B123" s="3" t="inlineStr">
        <is>
          <t>FY2026E</t>
        </is>
      </c>
      <c r="C123" s="3" t="inlineStr">
        <is>
          <t>FY2027E</t>
        </is>
      </c>
      <c r="D123" s="3" t="inlineStr">
        <is>
          <t>FY2028E</t>
        </is>
      </c>
      <c r="E123" s="3" t="inlineStr">
        <is>
          <t>FY2029E</t>
        </is>
      </c>
      <c r="F123" s="3" t="inlineStr">
        <is>
          <t>FY2030E</t>
        </is>
      </c>
    </row>
    <row r="124">
      <c r="A124" t="inlineStr">
        <is>
          <t>Equity: beginning</t>
        </is>
      </c>
      <c r="B124" s="4" t="n">
        <v>82137</v>
      </c>
      <c r="C124" s="4" t="n">
        <v>89934.167606</v>
      </c>
      <c r="D124" s="4" t="n">
        <v>96870.05096162838</v>
      </c>
      <c r="E124" s="4" t="n">
        <v>104489.5342016191</v>
      </c>
      <c r="F124" s="4" t="n">
        <v>113922.4161929489</v>
      </c>
    </row>
    <row r="125">
      <c r="A125" s="9" t="inlineStr">
        <is>
          <t>+ Net income to common</t>
        </is>
      </c>
      <c r="B125" s="10" t="n">
        <v>2553.296606000002</v>
      </c>
      <c r="C125" s="10" t="n">
        <v>1481.219355628371</v>
      </c>
      <c r="D125" s="10" t="n">
        <v>1898.942015990756</v>
      </c>
      <c r="E125" s="10" t="n">
        <v>3472.047938849796</v>
      </c>
      <c r="F125" s="10" t="n">
        <v>5309.19016948322</v>
      </c>
    </row>
    <row r="126">
      <c r="A126" t="inlineStr">
        <is>
          <t>+ SBC</t>
        </is>
      </c>
      <c r="B126" s="4" t="n">
        <v>4343.871</v>
      </c>
      <c r="C126" s="4" t="n">
        <v>4554.664000000001</v>
      </c>
      <c r="D126" s="4" t="n">
        <v>4820.541224</v>
      </c>
      <c r="E126" s="4" t="n">
        <v>5060.83405248</v>
      </c>
      <c r="F126" s="4" t="n">
        <v>5218.1358898368</v>
      </c>
    </row>
    <row r="127">
      <c r="A127" t="inlineStr">
        <is>
          <t>+ Option proceeds</t>
        </is>
      </c>
      <c r="B127" s="4" t="n">
        <v>900</v>
      </c>
      <c r="C127" s="4" t="n">
        <v>900</v>
      </c>
      <c r="D127" s="4" t="n">
        <v>900</v>
      </c>
      <c r="E127" s="4" t="n">
        <v>900</v>
      </c>
      <c r="F127" s="4" t="n">
        <v>900</v>
      </c>
    </row>
    <row r="128">
      <c r="A128" t="inlineStr">
        <is>
          <t>- Buybacks</t>
        </is>
      </c>
      <c r="B128" s="4" t="n">
        <v>-0</v>
      </c>
      <c r="C128" s="4" t="n">
        <v>-0</v>
      </c>
      <c r="D128" s="4" t="n">
        <v>-0</v>
      </c>
      <c r="E128" s="4" t="n">
        <v>-0</v>
      </c>
      <c r="F128" s="4" t="n">
        <v>-0</v>
      </c>
    </row>
    <row r="129">
      <c r="A129" s="9" t="inlineStr">
        <is>
          <t>Equity: ending</t>
        </is>
      </c>
      <c r="B129" s="10" t="n">
        <v>89934.167606</v>
      </c>
      <c r="C129" s="10" t="n">
        <v>96870.05096162838</v>
      </c>
      <c r="D129" s="10" t="n">
        <v>104489.5342016191</v>
      </c>
      <c r="E129" s="10" t="n">
        <v>113922.4161929489</v>
      </c>
      <c r="F129" s="10" t="n">
        <v>125349.742252269</v>
      </c>
    </row>
    <row r="130">
      <c r="A130" t="inlineStr">
        <is>
          <t>Diluted shares: beginning (M)</t>
        </is>
      </c>
      <c r="B130" s="4" t="n">
        <v>3540</v>
      </c>
      <c r="C130" s="4" t="n">
        <v>3561.24</v>
      </c>
      <c r="D130" s="4" t="n">
        <v>3582.60744</v>
      </c>
      <c r="E130" s="4" t="n">
        <v>3604.10308464</v>
      </c>
      <c r="F130" s="4" t="n">
        <v>3625.72770314784</v>
      </c>
    </row>
    <row r="131">
      <c r="A131" t="inlineStr">
        <is>
          <t>+ Issued (M)</t>
        </is>
      </c>
      <c r="B131" s="5" t="n">
        <v>21.24</v>
      </c>
      <c r="C131" s="5" t="n">
        <v>21.36744</v>
      </c>
      <c r="D131" s="5" t="n">
        <v>21.49564464</v>
      </c>
      <c r="E131" s="5" t="n">
        <v>21.62461850784</v>
      </c>
      <c r="F131" s="5" t="n">
        <v>21.75436621888704</v>
      </c>
    </row>
    <row r="132">
      <c r="A132" t="inlineStr">
        <is>
          <t>- Repurchased (M)</t>
        </is>
      </c>
      <c r="B132" s="4" t="n">
        <v>-0</v>
      </c>
      <c r="C132" s="4" t="n">
        <v>-0</v>
      </c>
      <c r="D132" s="4" t="n">
        <v>-0</v>
      </c>
      <c r="E132" s="4" t="n">
        <v>-0</v>
      </c>
      <c r="F132" s="4" t="n">
        <v>-0</v>
      </c>
    </row>
    <row r="133">
      <c r="A133" s="9" t="inlineStr">
        <is>
          <t>Diluted shares: ending (M)</t>
        </is>
      </c>
      <c r="B133" s="10" t="n">
        <v>3561.24</v>
      </c>
      <c r="C133" s="10" t="n">
        <v>3582.60744</v>
      </c>
      <c r="D133" s="10" t="n">
        <v>3604.10308464</v>
      </c>
      <c r="E133" s="10" t="n">
        <v>3625.72770314784</v>
      </c>
      <c r="F133" s="10" t="n">
        <v>3647.482069366727</v>
      </c>
    </row>
    <row r="134"/>
    <row r="135">
      <c r="A135" s="1" t="inlineStr">
        <is>
          <t>Working capital</t>
        </is>
      </c>
    </row>
    <row r="136">
      <c r="A136" s="3" t="inlineStr">
        <is>
          <t>index</t>
        </is>
      </c>
      <c r="B136" s="3" t="inlineStr">
        <is>
          <t>FY2026E</t>
        </is>
      </c>
      <c r="C136" s="3" t="inlineStr">
        <is>
          <t>FY2027E</t>
        </is>
      </c>
      <c r="D136" s="3" t="inlineStr">
        <is>
          <t>FY2028E</t>
        </is>
      </c>
      <c r="E136" s="3" t="inlineStr">
        <is>
          <t>FY2029E</t>
        </is>
      </c>
      <c r="F136" s="3" t="inlineStr">
        <is>
          <t>FY2030E</t>
        </is>
      </c>
    </row>
    <row r="137">
      <c r="A137" t="inlineStr">
        <is>
          <t>Accounts receivable</t>
        </is>
      </c>
      <c r="B137" s="4" t="n">
        <v>4987.092602739726</v>
      </c>
      <c r="C137" s="4" t="n">
        <v>5490.553863013699</v>
      </c>
      <c r="D137" s="4" t="n">
        <v>6116.908835068493</v>
      </c>
      <c r="E137" s="4" t="n">
        <v>6778.590511693151</v>
      </c>
      <c r="F137" s="4" t="n">
        <v>7400.418344974027</v>
      </c>
    </row>
    <row r="138">
      <c r="A138" t="inlineStr">
        <is>
          <t>Inventory</t>
        </is>
      </c>
      <c r="B138" s="4" t="n">
        <v>13529.31054789041</v>
      </c>
      <c r="C138" s="4" t="n">
        <v>15073.55293589754</v>
      </c>
      <c r="D138" s="4" t="n">
        <v>16746.92385308017</v>
      </c>
      <c r="E138" s="4" t="n">
        <v>18383.13648353405</v>
      </c>
      <c r="F138" s="4" t="n">
        <v>19912.81160242225</v>
      </c>
    </row>
    <row r="139">
      <c r="A139" t="inlineStr">
        <is>
          <t>Prepaid &amp; other</t>
        </is>
      </c>
      <c r="B139" s="4" t="n">
        <v>8305.067649999999</v>
      </c>
      <c r="C139" s="4" t="n">
        <v>9143.48798</v>
      </c>
      <c r="D139" s="4" t="n">
        <v>10186.5647444</v>
      </c>
      <c r="E139" s="4" t="n">
        <v>11288.471511504</v>
      </c>
      <c r="F139" s="4" t="n">
        <v>12324.00917511456</v>
      </c>
    </row>
    <row r="140">
      <c r="A140" t="inlineStr">
        <is>
          <t>Accounts payable</t>
        </is>
      </c>
      <c r="B140" s="4" t="n">
        <v>-14598.63749841096</v>
      </c>
      <c r="C140" s="4" t="n">
        <v>-16264.93340849425</v>
      </c>
      <c r="D140" s="4" t="n">
        <v>-18070.56388270506</v>
      </c>
      <c r="E140" s="4" t="n">
        <v>-19836.09916092678</v>
      </c>
      <c r="F140" s="4" t="n">
        <v>-21486.67643697796</v>
      </c>
    </row>
    <row r="141">
      <c r="A141" t="inlineStr">
        <is>
          <t>Accrued &amp; other</t>
        </is>
      </c>
      <c r="B141" s="4" t="n">
        <v>-21595.2444</v>
      </c>
      <c r="C141" s="4" t="n">
        <v>-23775.34608</v>
      </c>
      <c r="D141" s="4" t="n">
        <v>-26487.6054624</v>
      </c>
      <c r="E141" s="4" t="n">
        <v>-29352.837504384</v>
      </c>
      <c r="F141" s="4" t="n">
        <v>-32045.49334699776</v>
      </c>
    </row>
    <row r="142">
      <c r="A142" t="inlineStr">
        <is>
          <t>Deferred revenue</t>
        </is>
      </c>
      <c r="B142" s="4" t="n">
        <v>-7694.857199999999</v>
      </c>
      <c r="C142" s="4" t="n">
        <v>-8471.67504</v>
      </c>
      <c r="D142" s="4" t="n">
        <v>-9438.112291199999</v>
      </c>
      <c r="E142" s="4" t="n">
        <v>-10459.057041792</v>
      </c>
      <c r="F142" s="4" t="n">
        <v>-11418.50912364288</v>
      </c>
    </row>
    <row r="143">
      <c r="A143" t="inlineStr">
        <is>
          <t>Net working capital</t>
        </is>
      </c>
      <c r="B143" s="4" t="n">
        <v>-17067.26829778082</v>
      </c>
      <c r="C143" s="4" t="n">
        <v>-18804.35974958302</v>
      </c>
      <c r="D143" s="4" t="n">
        <v>-20945.8842037564</v>
      </c>
      <c r="E143" s="4" t="n">
        <v>-23197.79520037157</v>
      </c>
      <c r="F143" s="4" t="n">
        <v>-25313.43978510776</v>
      </c>
    </row>
    <row r="144">
      <c r="A144" t="inlineStr">
        <is>
          <t>Increase in NWC (cash outflow)</t>
        </is>
      </c>
      <c r="B144" s="4" t="n">
        <v>-1428.268297780818</v>
      </c>
      <c r="C144" s="4" t="n">
        <v>-1737.0914518022</v>
      </c>
      <c r="D144" s="4" t="n">
        <v>-2141.524454173381</v>
      </c>
      <c r="E144" s="4" t="n">
        <v>-2251.910996615174</v>
      </c>
      <c r="F144" s="4" t="n">
        <v>-2115.64458473619</v>
      </c>
    </row>
    <row r="145"/>
    <row r="146">
      <c r="A146" s="1" t="inlineStr">
        <is>
          <t>FCFE build</t>
        </is>
      </c>
    </row>
    <row r="147">
      <c r="A147" s="3" t="inlineStr">
        <is>
          <t>index</t>
        </is>
      </c>
      <c r="B147" s="3" t="inlineStr">
        <is>
          <t>FY2026E</t>
        </is>
      </c>
      <c r="C147" s="3" t="inlineStr">
        <is>
          <t>FY2027E</t>
        </is>
      </c>
      <c r="D147" s="3" t="inlineStr">
        <is>
          <t>FY2028E</t>
        </is>
      </c>
      <c r="E147" s="3" t="inlineStr">
        <is>
          <t>FY2029E</t>
        </is>
      </c>
      <c r="F147" s="3" t="inlineStr">
        <is>
          <t>FY2030E</t>
        </is>
      </c>
    </row>
    <row r="148">
      <c r="A148" s="9" t="inlineStr">
        <is>
          <t>Net income to common</t>
        </is>
      </c>
      <c r="B148" s="10" t="n">
        <v>2553.296606000002</v>
      </c>
      <c r="C148" s="10" t="n">
        <v>1481.219355628371</v>
      </c>
      <c r="D148" s="10" t="n">
        <v>1898.942015990756</v>
      </c>
      <c r="E148" s="10" t="n">
        <v>3472.047938849796</v>
      </c>
      <c r="F148" s="10" t="n">
        <v>5309.19016948322</v>
      </c>
    </row>
    <row r="149">
      <c r="A149" t="inlineStr">
        <is>
          <t>+ D&amp;A</t>
        </is>
      </c>
      <c r="B149" s="4" t="n">
        <v>6520.67</v>
      </c>
      <c r="C149" s="4" t="n">
        <v>8941.1829</v>
      </c>
      <c r="D149" s="4" t="n">
        <v>10649.229123</v>
      </c>
      <c r="E149" s="4" t="n">
        <v>11615.22933701</v>
      </c>
      <c r="F149" s="4" t="n">
        <v>12195.6495231987</v>
      </c>
    </row>
    <row r="150">
      <c r="A150" t="inlineStr">
        <is>
          <t>+ SBC (if added back)</t>
        </is>
      </c>
      <c r="B150" s="4" t="n">
        <v>4343.871</v>
      </c>
      <c r="C150" s="4" t="n">
        <v>4554.664000000001</v>
      </c>
      <c r="D150" s="4" t="n">
        <v>4820.541224</v>
      </c>
      <c r="E150" s="4" t="n">
        <v>5060.83405248</v>
      </c>
      <c r="F150" s="4" t="n">
        <v>5218.1358898368</v>
      </c>
    </row>
    <row r="151">
      <c r="A151" t="inlineStr">
        <is>
          <t>- Capex</t>
        </is>
      </c>
      <c r="B151" s="4" t="n">
        <v>-25000</v>
      </c>
      <c r="C151" s="4" t="n">
        <v>-22000</v>
      </c>
      <c r="D151" s="4" t="n">
        <v>-18000</v>
      </c>
      <c r="E151" s="4" t="n">
        <v>-16000</v>
      </c>
      <c r="F151" s="4" t="n">
        <v>-15000</v>
      </c>
    </row>
    <row r="152">
      <c r="A152" t="inlineStr">
        <is>
          <t>- Increase in NWC</t>
        </is>
      </c>
      <c r="B152" s="4" t="n">
        <v>1428.268297780818</v>
      </c>
      <c r="C152" s="4" t="n">
        <v>1737.0914518022</v>
      </c>
      <c r="D152" s="4" t="n">
        <v>2141.524454173381</v>
      </c>
      <c r="E152" s="4" t="n">
        <v>2251.910996615174</v>
      </c>
      <c r="F152" s="4" t="n">
        <v>2115.64458473619</v>
      </c>
    </row>
    <row r="153">
      <c r="A153" t="inlineStr">
        <is>
          <t>+ Net borrowing (debt, leases, revolver)</t>
        </is>
      </c>
      <c r="B153" s="4" t="n">
        <v>920</v>
      </c>
      <c r="C153" s="4" t="n">
        <v>-80</v>
      </c>
      <c r="D153" s="4" t="n">
        <v>420</v>
      </c>
      <c r="E153" s="4" t="n">
        <v>-2580</v>
      </c>
      <c r="F153" s="4" t="n">
        <v>420</v>
      </c>
    </row>
    <row r="154">
      <c r="A154" s="9" t="inlineStr">
        <is>
          <t>FCFE</t>
        </is>
      </c>
      <c r="B154" s="10" t="n">
        <v>-9233.894096219181</v>
      </c>
      <c r="C154" s="10" t="n">
        <v>-5365.842292569429</v>
      </c>
      <c r="D154" s="10" t="n">
        <v>1930.236817164139</v>
      </c>
      <c r="E154" s="10" t="n">
        <v>3820.022324954971</v>
      </c>
      <c r="F154" s="10" t="n">
        <v>10258.62016725491</v>
      </c>
    </row>
    <row r="155">
      <c r="A155" t="inlineStr">
        <is>
          <t>- After-tax interest income (cash valued separately)</t>
        </is>
      </c>
      <c r="B155" s="8" t="n">
        <v>-1274.803106</v>
      </c>
      <c r="C155" s="8" t="n">
        <v>-988.0503306283725</v>
      </c>
      <c r="D155" s="8" t="n">
        <v>-867.6258854707576</v>
      </c>
      <c r="E155" s="8" t="n">
        <v>-963.348745397102</v>
      </c>
      <c r="F155" s="8" t="n">
        <v>-1104.551247534522</v>
      </c>
    </row>
    <row r="156">
      <c r="A156" s="9" t="inlineStr">
        <is>
          <t>Operating FCFE (valued)</t>
        </is>
      </c>
      <c r="B156" s="10" t="n">
        <v>-10508.69720221918</v>
      </c>
      <c r="C156" s="10" t="n">
        <v>-6353.892623197801</v>
      </c>
      <c r="D156" s="10" t="n">
        <v>1062.610931693382</v>
      </c>
      <c r="E156" s="10" t="n">
        <v>2856.673579557869</v>
      </c>
      <c r="F156" s="10" t="n">
        <v>9154.068919720385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cols>
    <col width="70" customWidth="1" min="1" max="1"/>
    <col width="28" customWidth="1" min="2" max="2"/>
    <col width="32" customWidth="1" min="3" max="3"/>
    <col width="39" customWidth="1" min="4" max="4"/>
    <col width="23" customWidth="1" min="5" max="5"/>
    <col width="23" customWidth="1" min="6" max="6"/>
    <col width="21" customWidth="1" min="7" max="7"/>
    <col width="21" customWidth="1" min="8" max="8"/>
    <col width="20" customWidth="1" min="9" max="9"/>
    <col width="39" customWidth="1" min="10" max="10"/>
    <col width="70" customWidth="1" min="11" max="11"/>
    <col width="23" customWidth="1" min="12" max="12"/>
    <col width="20" customWidth="1" min="13" max="13"/>
    <col width="21" customWidth="1" min="14" max="14"/>
  </cols>
  <sheetData>
    <row r="1">
      <c r="A1" s="1" t="inlineStr">
        <is>
          <t>Cost of equity (CAPM)</t>
        </is>
      </c>
    </row>
    <row r="2">
      <c r="A2" s="3" t="inlineStr">
        <is>
          <t>Item</t>
        </is>
      </c>
      <c r="B2" s="3" t="inlineStr">
        <is>
          <t>Value</t>
        </is>
      </c>
    </row>
    <row r="3">
      <c r="A3" t="inlineStr">
        <is>
          <t>Risk-free rate</t>
        </is>
      </c>
      <c r="B3" s="12" t="n">
        <v>0.0511</v>
      </c>
    </row>
    <row r="4">
      <c r="A4" t="inlineStr">
        <is>
          <t>Equity risk premium</t>
        </is>
      </c>
      <c r="B4" s="12" t="n">
        <v>0.045</v>
      </c>
    </row>
    <row r="5">
      <c r="A5" t="inlineStr">
        <is>
          <t>Observed beta (regression)</t>
        </is>
      </c>
      <c r="B5" s="13" t="n">
        <v>1.76</v>
      </c>
    </row>
    <row r="6">
      <c r="A6" t="inlineStr">
        <is>
          <t>Bottom-up beta (relevered)</t>
        </is>
      </c>
      <c r="B6" s="13" t="n">
        <v>1.170556345696393</v>
      </c>
    </row>
    <row r="7">
      <c r="A7" t="inlineStr">
        <is>
          <t>Beta used (bottom-up)</t>
        </is>
      </c>
      <c r="B7" s="13" t="n">
        <v>1.170556345696393</v>
      </c>
    </row>
    <row r="8">
      <c r="A8" t="inlineStr">
        <is>
          <t>Cost of equity used (CAPM rf + beta x ERP)</t>
        </is>
      </c>
      <c r="B8" s="12" t="n">
        <v>0.1037750355563377</v>
      </c>
    </row>
    <row r="9">
      <c r="A9" t="inlineStr">
        <is>
          <t>Cost of equity @ observed beta</t>
        </is>
      </c>
      <c r="B9" s="12" t="n">
        <v>0.1303</v>
      </c>
    </row>
    <row r="10">
      <c r="A10" t="inlineStr">
        <is>
          <t>Cost of equity @ bottom-up beta</t>
        </is>
      </c>
      <c r="B10" s="12" t="n">
        <v>0.1037750355563377</v>
      </c>
    </row>
    <row r="11">
      <c r="A11" t="inlineStr">
        <is>
          <t>Terminal growth</t>
        </is>
      </c>
      <c r="B11" s="12" t="n">
        <v>0.03</v>
      </c>
    </row>
    <row r="12">
      <c r="A12" t="inlineStr">
        <is>
          <t>Tesla forecast D/E used for relevering</t>
        </is>
      </c>
      <c r="B12" s="12" t="n">
        <v>0.00659892980235324</v>
      </c>
    </row>
    <row r="13"/>
    <row r="14">
      <c r="A14" s="1" t="inlineStr">
        <is>
          <t>Bottom-up beta peers (Hamada unlevering)</t>
        </is>
      </c>
    </row>
    <row r="15">
      <c r="A15" s="3" t="inlineStr">
        <is>
          <t>Ticker</t>
        </is>
      </c>
      <c r="B15" s="3" t="inlineStr">
        <is>
          <t>Name</t>
        </is>
      </c>
      <c r="C15" s="3" t="inlineStr">
        <is>
          <t>Group</t>
        </is>
      </c>
      <c r="D15" s="3" t="inlineStr">
        <is>
          <t>Levered beta</t>
        </is>
      </c>
      <c r="E15" s="3" t="inlineStr">
        <is>
          <t>Debt ($M)</t>
        </is>
      </c>
      <c r="F15" s="3" t="inlineStr">
        <is>
          <t>Market cap ($M)</t>
        </is>
      </c>
      <c r="G15" s="3" t="inlineStr">
        <is>
          <t>D/E</t>
        </is>
      </c>
      <c r="H15" s="3" t="inlineStr">
        <is>
          <t>Tax rate</t>
        </is>
      </c>
      <c r="I15" s="3" t="inlineStr">
        <is>
          <t>Unlevered beta</t>
        </is>
      </c>
      <c r="J15" s="3" t="inlineStr">
        <is>
          <t>Debt source</t>
        </is>
      </c>
      <c r="K15" s="3" t="inlineStr">
        <is>
          <t>Notes</t>
        </is>
      </c>
    </row>
    <row r="16">
      <c r="A16" t="inlineStr">
        <is>
          <t>GM</t>
        </is>
      </c>
      <c r="B16" t="inlineStr">
        <is>
          <t>General Motors</t>
        </is>
      </c>
      <c r="C16" t="inlineStr">
        <is>
          <t>Legacy auto</t>
        </is>
      </c>
      <c r="D16" s="14" t="n">
        <v>1.42</v>
      </c>
      <c r="E16" s="4" t="n">
        <v>16000</v>
      </c>
      <c r="F16" s="4" t="n">
        <v>72596</v>
      </c>
      <c r="G16" s="14" t="n">
        <v>0.2203978180616012</v>
      </c>
      <c r="H16" s="15" t="n">
        <v>0.21</v>
      </c>
      <c r="I16" s="14" t="n">
        <v>1.209422309822141</v>
      </c>
      <c r="J16" t="inlineStr">
        <is>
          <t>judgment</t>
        </is>
      </c>
      <c r="K16" t="inlineStr">
        <is>
          <t>Debt is JUDGMENT: approximate GM automotive (ex-GM Financial) debt. Captive-finance debt funds a lending book, not operating leverage, so it is excluded. Revenue/NI: FY2025 10-K XBRL.</t>
        </is>
      </c>
    </row>
    <row r="17">
      <c r="A17" t="inlineStr">
        <is>
          <t>F</t>
        </is>
      </c>
      <c r="B17" t="inlineStr">
        <is>
          <t>Ford Motor</t>
        </is>
      </c>
      <c r="C17" t="inlineStr">
        <is>
          <t>Legacy auto</t>
        </is>
      </c>
      <c r="D17" s="14" t="n">
        <v>1.89</v>
      </c>
      <c r="E17" s="4" t="n">
        <v>20000</v>
      </c>
      <c r="F17" s="4" t="n">
        <v>50271</v>
      </c>
      <c r="G17" s="14" t="n">
        <v>0.3978436872152931</v>
      </c>
      <c r="H17" s="15" t="n">
        <v>0.21</v>
      </c>
      <c r="I17" s="14" t="n">
        <v>1.438031662908084</v>
      </c>
      <c r="J17" t="inlineStr">
        <is>
          <t>judgment</t>
        </is>
      </c>
      <c r="K17" t="inlineStr">
        <is>
          <t>Debt is JUDGMENT: approximate Company-excluding-Ford-Credit debt. FY2025 net income not available in clean XBRL tags, so excluded from P/E.</t>
        </is>
      </c>
    </row>
    <row r="18">
      <c r="A18" t="inlineStr">
        <is>
          <t>RIVN</t>
        </is>
      </c>
      <c r="B18" t="inlineStr">
        <is>
          <t>Rivian Automotive</t>
        </is>
      </c>
      <c r="C18" t="inlineStr">
        <is>
          <t>EV pure-play</t>
        </is>
      </c>
      <c r="D18" s="14" t="n">
        <v>1.67</v>
      </c>
      <c r="E18" s="4" t="n">
        <v>4475</v>
      </c>
      <c r="F18" s="4" t="n">
        <v>21855</v>
      </c>
      <c r="G18" s="14" t="n">
        <v>0.2047586364676275</v>
      </c>
      <c r="H18" s="15" t="n">
        <v>0</v>
      </c>
      <c r="I18" s="14" t="n">
        <v>1.386169768325104</v>
      </c>
      <c r="J18" t="inlineStr">
        <is>
          <t>history</t>
        </is>
      </c>
      <c r="K18" t="inlineStr">
        <is>
          <t>Debt: XBRL DebtInstrumentCarryingAmount at 2026-06-30. Loss-making, so 0% tax shield assumed in unlevering.</t>
        </is>
      </c>
    </row>
    <row r="19">
      <c r="A19" t="inlineStr">
        <is>
          <t>LCID</t>
        </is>
      </c>
      <c r="B19" t="inlineStr">
        <is>
          <t>Lucid Group</t>
        </is>
      </c>
      <c r="C19" t="inlineStr">
        <is>
          <t>EV pure-play</t>
        </is>
      </c>
      <c r="D19" s="14" t="n">
        <v>0.76</v>
      </c>
      <c r="E19" s="4" t="n">
        <v>3254</v>
      </c>
      <c r="F19" s="4" t="n">
        <v>1608</v>
      </c>
      <c r="G19" s="14" t="n">
        <v>2.02363184079602</v>
      </c>
      <c r="H19" s="15" t="n">
        <v>0</v>
      </c>
      <c r="I19" s="14" t="n">
        <v>0.2513533525298231</v>
      </c>
      <c r="J19" t="inlineStr">
        <is>
          <t>history</t>
        </is>
      </c>
      <c r="K19" t="inlineStr">
        <is>
          <t>Debt: XBRL DebtLongtermAndShorttermCombinedAmount at 2026-06-30. Very high D/E; low observed beta likely reflects idiosyncratic/financing-driven price action.</t>
        </is>
      </c>
    </row>
    <row r="20">
      <c r="A20" t="inlineStr">
        <is>
          <t>ENPH</t>
        </is>
      </c>
      <c r="B20" t="inlineStr">
        <is>
          <t>Enphase Energy</t>
        </is>
      </c>
      <c r="C20" t="inlineStr">
        <is>
          <t>Energy/storage</t>
        </is>
      </c>
      <c r="D20" s="14" t="n">
        <v>1.4</v>
      </c>
      <c r="E20" s="4" t="n">
        <v>573</v>
      </c>
      <c r="F20" s="4" t="n">
        <v>4185</v>
      </c>
      <c r="G20" s="14" t="n">
        <v>0.1369175627240143</v>
      </c>
      <c r="H20" s="15" t="n">
        <v>0.21</v>
      </c>
      <c r="I20" s="14" t="n">
        <v>1.263349914935733</v>
      </c>
      <c r="J20" t="inlineStr">
        <is>
          <t>history</t>
        </is>
      </c>
      <c r="K20" t="inlineStr">
        <is>
          <t>Debt: XBRL LongTermDebt at 2026-03-31.</t>
        </is>
      </c>
    </row>
    <row r="21">
      <c r="A21" t="inlineStr">
        <is>
          <t>FLNC</t>
        </is>
      </c>
      <c r="B21" t="inlineStr">
        <is>
          <t>Fluence Energy</t>
        </is>
      </c>
      <c r="C21" t="inlineStr">
        <is>
          <t>Energy/storage</t>
        </is>
      </c>
      <c r="D21" s="14" t="n">
        <v>2.74</v>
      </c>
      <c r="E21" s="4" t="n">
        <v>392</v>
      </c>
      <c r="F21" s="4" t="n">
        <v>1347</v>
      </c>
      <c r="G21" s="14" t="n">
        <v>0.2910170749814402</v>
      </c>
      <c r="H21" s="15" t="n">
        <v>0</v>
      </c>
      <c r="I21" s="14" t="n">
        <v>2.122357676825762</v>
      </c>
      <c r="J21" t="inlineStr">
        <is>
          <t>history</t>
        </is>
      </c>
      <c r="K21" t="inlineStr">
        <is>
          <t>Debt: XBRL ConvertibleLongTermNotesPayable at 2026-06-30. Fiscal year ends Sept 30. Loss-making, so 0% tax shield.</t>
        </is>
      </c>
    </row>
    <row r="22"/>
    <row r="23">
      <c r="A23" s="1" t="inlineStr">
        <is>
          <t>Bottom-up beta build</t>
        </is>
      </c>
    </row>
    <row r="24">
      <c r="A24" s="3" t="inlineStr">
        <is>
          <t>Auto peers avg unlevered</t>
        </is>
      </c>
      <c r="B24" s="3" t="inlineStr">
        <is>
          <t>Energy peers avg unlevered</t>
        </is>
      </c>
      <c r="C24" s="3" t="inlineStr">
        <is>
          <t>Revenue-weighted unlevered</t>
        </is>
      </c>
      <c r="D24" s="3" t="inlineStr">
        <is>
          <t>Relevered at Tesla D/E</t>
        </is>
      </c>
    </row>
    <row r="25">
      <c r="A25" s="13" t="n">
        <v>1.071244273396288</v>
      </c>
      <c r="B25" s="13" t="n">
        <v>1.692853795880747</v>
      </c>
      <c r="C25" s="13" t="n">
        <v>1.164485701768957</v>
      </c>
      <c r="D25" s="13" t="n">
        <v>1.170556345696393</v>
      </c>
    </row>
    <row r="26"/>
    <row r="27">
      <c r="A27" s="1" t="inlineStr">
        <is>
          <t>Discounted operating FCFE</t>
        </is>
      </c>
    </row>
    <row r="28">
      <c r="A28" s="3" t="inlineStr">
        <is>
          <t>Year</t>
        </is>
      </c>
      <c r="B28" s="3" t="inlineStr">
        <is>
          <t>FCFE</t>
        </is>
      </c>
      <c r="C28" s="3" t="inlineStr">
        <is>
          <t>Less after-tax interest income</t>
        </is>
      </c>
      <c r="D28" s="3" t="inlineStr">
        <is>
          <t>Less H1-2026 actual (already in cash)</t>
        </is>
      </c>
      <c r="E28" s="3" t="inlineStr">
        <is>
          <t>Operating FCFE valued</t>
        </is>
      </c>
      <c r="F28" s="3" t="inlineStr">
        <is>
          <t>Discount period (yrs)</t>
        </is>
      </c>
      <c r="G28" s="3" t="inlineStr">
        <is>
          <t>Discount factor</t>
        </is>
      </c>
      <c r="H28" s="3" t="inlineStr">
        <is>
          <t>PV</t>
        </is>
      </c>
    </row>
    <row r="29">
      <c r="A29" t="inlineStr">
        <is>
          <t>FY2026E (H2 only)</t>
        </is>
      </c>
      <c r="B29" s="4" t="n">
        <v>-9233.894096219181</v>
      </c>
      <c r="C29" s="4" t="n">
        <v>-1274.803106</v>
      </c>
      <c r="D29" s="4" t="n">
        <v>-376.7568608570052</v>
      </c>
      <c r="E29" s="4" t="n">
        <v>-10885.45406307619</v>
      </c>
      <c r="F29" s="14" t="n">
        <v>0.2683093771389459</v>
      </c>
      <c r="G29" s="16" t="n">
        <v>0.9738559941339726</v>
      </c>
      <c r="H29" s="4" t="n">
        <v>-10600.86468819675</v>
      </c>
    </row>
    <row r="30">
      <c r="A30" t="inlineStr">
        <is>
          <t>FY2027E</t>
        </is>
      </c>
      <c r="B30" s="4" t="n">
        <v>-5365.842292569429</v>
      </c>
      <c r="C30" s="4" t="n">
        <v>-988.0503306283725</v>
      </c>
      <c r="D30" s="4" t="n">
        <v>0</v>
      </c>
      <c r="E30" s="4" t="n">
        <v>-6353.892623197801</v>
      </c>
      <c r="F30" s="14" t="n">
        <v>1.267624914442163</v>
      </c>
      <c r="G30" s="16" t="n">
        <v>0.8823553526360117</v>
      </c>
      <c r="H30" s="4" t="n">
        <v>-5606.391166153049</v>
      </c>
    </row>
    <row r="31">
      <c r="A31" t="inlineStr">
        <is>
          <t>FY2028E</t>
        </is>
      </c>
      <c r="B31" s="4" t="n">
        <v>1930.236817164139</v>
      </c>
      <c r="C31" s="4" t="n">
        <v>-867.6258854707576</v>
      </c>
      <c r="D31" s="4" t="n">
        <v>0</v>
      </c>
      <c r="E31" s="4" t="n">
        <v>1062.610931693382</v>
      </c>
      <c r="F31" s="14" t="n">
        <v>2.269678302532512</v>
      </c>
      <c r="G31" s="16" t="n">
        <v>0.7992357594721867</v>
      </c>
      <c r="H31" s="4" t="n">
        <v>849.2766550154078</v>
      </c>
    </row>
    <row r="32">
      <c r="A32" t="inlineStr">
        <is>
          <t>FY2029E</t>
        </is>
      </c>
      <c r="B32" s="4" t="n">
        <v>3820.022324954971</v>
      </c>
      <c r="C32" s="4" t="n">
        <v>-963.348745397102</v>
      </c>
      <c r="D32" s="4" t="n">
        <v>0</v>
      </c>
      <c r="E32" s="4" t="n">
        <v>2856.673579557869</v>
      </c>
      <c r="F32" s="14" t="n">
        <v>3.268993839835729</v>
      </c>
      <c r="G32" s="16" t="n">
        <v>0.7241419210193584</v>
      </c>
      <c r="H32" s="4" t="n">
        <v>2068.637093626282</v>
      </c>
    </row>
    <row r="33">
      <c r="A33" t="inlineStr">
        <is>
          <t>FY2030E</t>
        </is>
      </c>
      <c r="B33" s="4" t="n">
        <v>10258.62016725491</v>
      </c>
      <c r="C33" s="4" t="n">
        <v>-1104.551247534522</v>
      </c>
      <c r="D33" s="4" t="n">
        <v>0</v>
      </c>
      <c r="E33" s="4" t="n">
        <v>9154.068919720385</v>
      </c>
      <c r="F33" s="14" t="n">
        <v>4.268309377138946</v>
      </c>
      <c r="G33" s="16" t="n">
        <v>0.6561036784989536</v>
      </c>
      <c r="H33" s="4" t="n">
        <v>6006.018291461486</v>
      </c>
    </row>
    <row r="34"/>
    <row r="35">
      <c r="A35" s="1" t="inlineStr">
        <is>
          <t>2031 terminal FCFE bridge</t>
        </is>
      </c>
    </row>
    <row r="36">
      <c r="A36" s="3" t="inlineStr">
        <is>
          <t>Component</t>
        </is>
      </c>
      <c r="B36" s="3" t="inlineStr">
        <is>
          <t>FY2030E</t>
        </is>
      </c>
      <c r="C36" s="3" t="inlineStr">
        <is>
          <t>FY2031</t>
        </is>
      </c>
    </row>
    <row r="37">
      <c r="A37" t="inlineStr">
        <is>
          <t>Net income to common, ex-interest income (FY2030E x (1+g))</t>
        </is>
      </c>
      <c r="B37" s="4" t="n">
        <v>4204.638921948699</v>
      </c>
      <c r="C37" s="4" t="n">
        <v>4330.77808960716</v>
      </c>
    </row>
    <row r="38">
      <c r="A38" t="inlineStr">
        <is>
          <t>+ D&amp;A (grown at g)</t>
        </is>
      </c>
      <c r="B38" s="4" t="n">
        <v>12195.6495231987</v>
      </c>
      <c r="C38" s="4" t="n">
        <v>12561.51900889466</v>
      </c>
    </row>
    <row r="39">
      <c r="A39" t="inlineStr">
        <is>
          <t>+ SBC (if added back)</t>
        </is>
      </c>
      <c r="B39" s="4" t="n">
        <v>5218.1358898368</v>
      </c>
      <c r="C39" s="4" t="n">
        <v>5374.679966531904</v>
      </c>
    </row>
    <row r="40">
      <c r="A40" t="inlineStr">
        <is>
          <t>- Capex (terminal capex/D&amp;A x D&amp;A)</t>
        </is>
      </c>
      <c r="B40" s="4" t="n">
        <v>-15000</v>
      </c>
      <c r="C40" s="4" t="n">
        <v>-14445.74686022886</v>
      </c>
    </row>
    <row r="41">
      <c r="A41" t="inlineStr">
        <is>
          <t>- Increase in NWC (NWC x g)</t>
        </is>
      </c>
      <c r="B41" s="4" t="n">
        <v>2115.64458473619</v>
      </c>
      <c r="C41" s="4" t="n">
        <v>759.4031935532329</v>
      </c>
    </row>
    <row r="42">
      <c r="A42" t="inlineStr">
        <is>
          <t>+ Net borrowing (debt x g, constant leverage)</t>
        </is>
      </c>
      <c r="B42" s="4" t="n">
        <v>420</v>
      </c>
      <c r="C42" s="4" t="n">
        <v>238.08</v>
      </c>
    </row>
    <row r="43">
      <c r="A43">
        <f> Operating FCFE</f>
        <v/>
      </c>
      <c r="B43" s="4" t="n">
        <v>9154.068919720385</v>
      </c>
      <c r="C43" s="4" t="n">
        <v>8818.713398358099</v>
      </c>
    </row>
    <row r="44"/>
    <row r="45">
      <c r="A45" s="1" t="inlineStr">
        <is>
          <t>Equity value bridge</t>
        </is>
      </c>
    </row>
    <row r="46">
      <c r="A46" s="3" t="inlineStr">
        <is>
          <t>Item</t>
        </is>
      </c>
      <c r="B46" s="3" t="inlineStr">
        <is>
          <t>USD m</t>
        </is>
      </c>
    </row>
    <row r="47">
      <c r="A47" t="inlineStr">
        <is>
          <t>PV of operating FCFE (H2 2026 - 2030)</t>
        </is>
      </c>
      <c r="B47" s="4" t="n">
        <v>-7283.323814246624</v>
      </c>
    </row>
    <row r="48">
      <c r="A48" t="inlineStr">
        <is>
          <t>Terminal value at end-2030 (FCFE 2031 / (ke - g))</t>
        </is>
      </c>
      <c r="B48" s="4" t="n">
        <v>119535.1968569878</v>
      </c>
    </row>
    <row r="49">
      <c r="A49" t="inlineStr">
        <is>
          <t>PV of terminal value (discounted 4.27 yrs)</t>
        </is>
      </c>
      <c r="B49" s="4" t="n">
        <v>78427.48236796628</v>
      </c>
    </row>
    <row r="50">
      <c r="A50" t="inlineStr">
        <is>
          <t>Cash &amp; ST investments (30-Jun-2026)</t>
        </is>
      </c>
      <c r="B50" s="4" t="n">
        <v>43524</v>
      </c>
    </row>
    <row r="51">
      <c r="A51" t="inlineStr">
        <is>
          <t>Less: minimum operating cash</t>
        </is>
      </c>
      <c r="B51" s="4" t="n">
        <v>-15513.825</v>
      </c>
    </row>
    <row r="52">
      <c r="A52" t="inlineStr">
        <is>
          <t>Excess cash</t>
        </is>
      </c>
      <c r="B52" s="4" t="n">
        <v>28010.175</v>
      </c>
    </row>
    <row r="53">
      <c r="A53" t="inlineStr">
        <is>
          <t>Digital assets (30-Jun-2026)</t>
        </is>
      </c>
      <c r="B53" s="4" t="n">
        <v>674</v>
      </c>
    </row>
    <row r="54">
      <c r="A54" t="inlineStr">
        <is>
          <t>SpaceX equity investment (carrying value)</t>
        </is>
      </c>
      <c r="B54" s="4" t="n">
        <v>3007</v>
      </c>
    </row>
    <row r="55">
      <c r="A55" t="inlineStr">
        <is>
          <t>Total non-operating assets</t>
        </is>
      </c>
      <c r="B55" s="4" t="n">
        <v>31691.175</v>
      </c>
    </row>
    <row r="56">
      <c r="A56" t="inlineStr">
        <is>
          <t>Total equity value</t>
        </is>
      </c>
      <c r="B56" s="4" t="n">
        <v>102835.3335537197</v>
      </c>
    </row>
    <row r="57">
      <c r="A57" t="inlineStr">
        <is>
          <t>Diluted shares (M)</t>
        </is>
      </c>
      <c r="B57" s="4" t="n">
        <v>3540</v>
      </c>
    </row>
    <row r="58">
      <c r="A58" t="inlineStr">
        <is>
          <t>Implied value per share ($)</t>
        </is>
      </c>
      <c r="B58" s="17" t="n">
        <v>29.04952925246318</v>
      </c>
    </row>
    <row r="59">
      <c r="A59" t="inlineStr">
        <is>
          <t>Market price ($, 2026-09-24)</t>
        </is>
      </c>
      <c r="B59" s="17" t="n">
        <v>378.25</v>
      </c>
    </row>
    <row r="60">
      <c r="A60" t="inlineStr">
        <is>
          <t>Upside / (downside)</t>
        </is>
      </c>
      <c r="B60" s="18" t="n">
        <v>-0.9232001870390927</v>
      </c>
    </row>
    <row r="61">
      <c r="A61" t="inlineStr">
        <is>
          <t>Terminal value share of DCF value (PV FCFE + PV TV)</t>
        </is>
      </c>
      <c r="B61" s="18" t="n">
        <v>1.102374164826858</v>
      </c>
    </row>
    <row r="62">
      <c r="A62" t="inlineStr">
        <is>
          <t>Terminal value share of total equity value</t>
        </is>
      </c>
      <c r="B62" s="18" t="n">
        <v>0.7626511205605895</v>
      </c>
    </row>
    <row r="63"/>
    <row r="64">
      <c r="A64" s="1" t="inlineStr">
        <is>
          <t>Discounted FCFF (WACC)</t>
        </is>
      </c>
    </row>
    <row r="65">
      <c r="A65" s="3" t="inlineStr">
        <is>
          <t>Year</t>
        </is>
      </c>
      <c r="B65" s="3" t="inlineStr">
        <is>
          <t>EBIT</t>
        </is>
      </c>
      <c r="C65" s="3" t="inlineStr">
        <is>
          <t>Tax on EBIT</t>
        </is>
      </c>
      <c r="D65" s="3" t="inlineStr">
        <is>
          <t>NOPAT</t>
        </is>
      </c>
      <c r="E65" s="3" t="inlineStr">
        <is>
          <t>D&amp;A</t>
        </is>
      </c>
      <c r="F65" s="3" t="inlineStr">
        <is>
          <t>SBC added back</t>
        </is>
      </c>
      <c r="G65" s="3" t="inlineStr">
        <is>
          <t>Capex</t>
        </is>
      </c>
      <c r="H65" s="3" t="inlineStr">
        <is>
          <t>Increase in NWC</t>
        </is>
      </c>
      <c r="I65" s="3" t="inlineStr">
        <is>
          <t>FCFF</t>
        </is>
      </c>
      <c r="J65" s="3" t="inlineStr">
        <is>
          <t>Less H1-2026 actual (already in cash)</t>
        </is>
      </c>
      <c r="K65" s="3" t="inlineStr">
        <is>
          <t>FCFF valued</t>
        </is>
      </c>
      <c r="L65" s="3" t="inlineStr">
        <is>
          <t>Discount period (yrs)</t>
        </is>
      </c>
      <c r="M65" s="3" t="inlineStr">
        <is>
          <t>Discount factor</t>
        </is>
      </c>
      <c r="N65" s="3" t="inlineStr">
        <is>
          <t>PV</t>
        </is>
      </c>
    </row>
    <row r="66">
      <c r="A66" t="inlineStr">
        <is>
          <t>FY2026E (H2 only)</t>
        </is>
      </c>
      <c r="B66" s="4" t="n">
        <v>2152.191000000003</v>
      </c>
      <c r="C66" s="4" t="n">
        <v>-559.5696600000007</v>
      </c>
      <c r="D66" s="4" t="n">
        <v>1592.621340000002</v>
      </c>
      <c r="E66" s="4" t="n">
        <v>6520.67</v>
      </c>
      <c r="F66" s="4" t="n">
        <v>4343.871</v>
      </c>
      <c r="G66" s="4" t="n">
        <v>-25000</v>
      </c>
      <c r="H66" s="4" t="n">
        <v>1428.268297780818</v>
      </c>
      <c r="I66" s="4" t="n">
        <v>-11114.56936221918</v>
      </c>
      <c r="J66" s="5" t="n">
        <v>70.26336061627353</v>
      </c>
      <c r="K66" s="4" t="n">
        <v>-11044.3060016029</v>
      </c>
      <c r="L66" s="14" t="n">
        <v>0.2683093771389459</v>
      </c>
      <c r="M66" s="16" t="n">
        <v>0.9739764751171032</v>
      </c>
      <c r="N66" s="4" t="n">
        <v>-10756.89422955586</v>
      </c>
    </row>
    <row r="67">
      <c r="A67" t="inlineStr">
        <is>
          <t>FY2027E</t>
        </is>
      </c>
      <c r="B67" s="4" t="n">
        <v>1124.434699999998</v>
      </c>
      <c r="C67" s="4" t="n">
        <v>-281.1086749999995</v>
      </c>
      <c r="D67" s="4" t="n">
        <v>843.3260249999985</v>
      </c>
      <c r="E67" s="4" t="n">
        <v>8941.1829</v>
      </c>
      <c r="F67" s="4" t="n">
        <v>4554.664000000001</v>
      </c>
      <c r="G67" s="4" t="n">
        <v>-22000</v>
      </c>
      <c r="H67" s="4" t="n">
        <v>1737.0914518022</v>
      </c>
      <c r="I67" s="4" t="n">
        <v>-5923.735623197801</v>
      </c>
      <c r="J67" s="4" t="n">
        <v>0</v>
      </c>
      <c r="K67" s="4" t="n">
        <v>-5923.735623197801</v>
      </c>
      <c r="L67" s="14" t="n">
        <v>1.267624914442163</v>
      </c>
      <c r="M67" s="16" t="n">
        <v>0.8828712012370196</v>
      </c>
      <c r="N67" s="4" t="n">
        <v>-5229.895585463168</v>
      </c>
    </row>
    <row r="68">
      <c r="A68" t="inlineStr">
        <is>
          <t>FY2028E</t>
        </is>
      </c>
      <c r="B68" s="4" t="n">
        <v>1822.818276999998</v>
      </c>
      <c r="C68" s="4" t="n">
        <v>-437.4763864799996</v>
      </c>
      <c r="D68" s="4" t="n">
        <v>1385.341890519999</v>
      </c>
      <c r="E68" s="4" t="n">
        <v>10649.229123</v>
      </c>
      <c r="F68" s="4" t="n">
        <v>4820.541224</v>
      </c>
      <c r="G68" s="4" t="n">
        <v>-18000</v>
      </c>
      <c r="H68" s="4" t="n">
        <v>2141.524454173381</v>
      </c>
      <c r="I68" s="4" t="n">
        <v>996.6366916933803</v>
      </c>
      <c r="J68" s="4" t="n">
        <v>0</v>
      </c>
      <c r="K68" s="4" t="n">
        <v>996.6366916933803</v>
      </c>
      <c r="L68" s="14" t="n">
        <v>2.269678302532512</v>
      </c>
      <c r="M68" s="16" t="n">
        <v>0.8000725707350484</v>
      </c>
      <c r="N68" s="4" t="n">
        <v>797.3816800119967</v>
      </c>
    </row>
    <row r="69">
      <c r="A69" t="inlineStr">
        <is>
          <t>FY2029E</t>
        </is>
      </c>
      <c r="B69" s="4" t="n">
        <v>3743.348978509992</v>
      </c>
      <c r="C69" s="4" t="n">
        <v>-860.9702650572982</v>
      </c>
      <c r="D69" s="4" t="n">
        <v>2882.378713452694</v>
      </c>
      <c r="E69" s="4" t="n">
        <v>11615.22933701</v>
      </c>
      <c r="F69" s="4" t="n">
        <v>5060.83405248</v>
      </c>
      <c r="G69" s="4" t="n">
        <v>-16000</v>
      </c>
      <c r="H69" s="4" t="n">
        <v>2251.910996615174</v>
      </c>
      <c r="I69" s="4" t="n">
        <v>5810.353099557869</v>
      </c>
      <c r="J69" s="4" t="n">
        <v>0</v>
      </c>
      <c r="K69" s="4" t="n">
        <v>5810.353099557869</v>
      </c>
      <c r="L69" s="14" t="n">
        <v>3.268993839835729</v>
      </c>
      <c r="M69" s="16" t="n">
        <v>0.7252341813663572</v>
      </c>
      <c r="N69" s="4" t="n">
        <v>4213.866673607327</v>
      </c>
    </row>
    <row r="70">
      <c r="A70" t="inlineStr">
        <is>
          <t>FY2030E</t>
        </is>
      </c>
      <c r="B70" s="4" t="n">
        <v>5843.368106426882</v>
      </c>
      <c r="C70" s="4" t="n">
        <v>-1343.974664478183</v>
      </c>
      <c r="D70" s="4" t="n">
        <v>4499.3934419487</v>
      </c>
      <c r="E70" s="4" t="n">
        <v>12195.6495231987</v>
      </c>
      <c r="F70" s="4" t="n">
        <v>5218.1358898368</v>
      </c>
      <c r="G70" s="4" t="n">
        <v>-15000</v>
      </c>
      <c r="H70" s="4" t="n">
        <v>2115.64458473619</v>
      </c>
      <c r="I70" s="4" t="n">
        <v>9028.823439720385</v>
      </c>
      <c r="J70" s="4" t="n">
        <v>0</v>
      </c>
      <c r="K70" s="4" t="n">
        <v>9028.823439720385</v>
      </c>
      <c r="L70" s="14" t="n">
        <v>4.268309377138946</v>
      </c>
      <c r="M70" s="16" t="n">
        <v>0.6573961376265059</v>
      </c>
      <c r="N70" s="4" t="n">
        <v>5935.513656583845</v>
      </c>
    </row>
    <row r="71"/>
    <row r="72">
      <c r="A72" s="1" t="inlineStr">
        <is>
          <t>2031 terminal FCFF bridge</t>
        </is>
      </c>
    </row>
    <row r="73">
      <c r="A73" s="3" t="inlineStr">
        <is>
          <t>Component</t>
        </is>
      </c>
      <c r="B73" s="3" t="inlineStr">
        <is>
          <t>FY2030E</t>
        </is>
      </c>
      <c r="C73" s="3" t="inlineStr">
        <is>
          <t>FY2031</t>
        </is>
      </c>
    </row>
    <row r="74">
      <c r="A74" t="inlineStr">
        <is>
          <t>EBIT (FY2030E x (1+g))</t>
        </is>
      </c>
      <c r="B74" s="4" t="n">
        <v>5843.368106426882</v>
      </c>
      <c r="C74" s="4" t="n">
        <v>6018.669149619689</v>
      </c>
    </row>
    <row r="75">
      <c r="A75" t="inlineStr">
        <is>
          <t>- Tax on EBIT</t>
        </is>
      </c>
      <c r="B75" s="4" t="n">
        <v>-1343.974664478183</v>
      </c>
      <c r="C75" s="4" t="n">
        <v>-1384.293904412528</v>
      </c>
    </row>
    <row r="76">
      <c r="A76">
        <f> NOPAT</f>
        <v/>
      </c>
      <c r="B76" s="4" t="n">
        <v>4499.3934419487</v>
      </c>
      <c r="C76" s="4" t="n">
        <v>4634.37524520716</v>
      </c>
    </row>
    <row r="77">
      <c r="A77" t="inlineStr">
        <is>
          <t>+ D&amp;A (grown at g)</t>
        </is>
      </c>
      <c r="B77" s="4" t="n">
        <v>12195.6495231987</v>
      </c>
      <c r="C77" s="4" t="n">
        <v>12561.51900889466</v>
      </c>
    </row>
    <row r="78">
      <c r="A78" t="inlineStr">
        <is>
          <t>+ SBC (if added back)</t>
        </is>
      </c>
      <c r="B78" s="4" t="n">
        <v>5218.1358898368</v>
      </c>
      <c r="C78" s="4" t="n">
        <v>5374.679966531904</v>
      </c>
    </row>
    <row r="79">
      <c r="A79" t="inlineStr">
        <is>
          <t>- Capex (terminal capex/D&amp;A x D&amp;A)</t>
        </is>
      </c>
      <c r="B79" s="4" t="n">
        <v>-15000</v>
      </c>
      <c r="C79" s="4" t="n">
        <v>-14445.74686022886</v>
      </c>
    </row>
    <row r="80">
      <c r="A80" t="inlineStr">
        <is>
          <t>- Increase in NWC (NWC x g)</t>
        </is>
      </c>
      <c r="B80" s="4" t="n">
        <v>2115.64458473619</v>
      </c>
      <c r="C80" s="4" t="n">
        <v>759.4031935532329</v>
      </c>
    </row>
    <row r="81">
      <c r="A81">
        <f> FCFF</f>
        <v/>
      </c>
      <c r="B81" s="4" t="n">
        <v>9028.823439720385</v>
      </c>
      <c r="C81" s="4" t="n">
        <v>8884.230553958099</v>
      </c>
    </row>
    <row r="82"/>
    <row r="83">
      <c r="A83" s="1" t="inlineStr">
        <is>
          <t>FCFF enterprise-value-to-equity bridge</t>
        </is>
      </c>
    </row>
    <row r="84">
      <c r="A84" s="3" t="inlineStr">
        <is>
          <t>Item</t>
        </is>
      </c>
      <c r="B84" s="3" t="inlineStr">
        <is>
          <t>USD m</t>
        </is>
      </c>
    </row>
    <row r="85">
      <c r="A85" t="inlineStr">
        <is>
          <t>PV of FCFF (H2 2026 - 2030)</t>
        </is>
      </c>
      <c r="B85" s="4" t="n">
        <v>-5040.027804815864</v>
      </c>
    </row>
    <row r="86">
      <c r="A86" t="inlineStr">
        <is>
          <t>PV of terminal value</t>
        </is>
      </c>
      <c r="B86" s="4" t="n">
        <v>79715.55088509197</v>
      </c>
    </row>
    <row r="87">
      <c r="A87" t="inlineStr">
        <is>
          <t>Enterprise value</t>
        </is>
      </c>
      <c r="B87" s="4" t="n">
        <v>74675.52308027611</v>
      </c>
    </row>
    <row r="88">
      <c r="A88" t="inlineStr">
        <is>
          <t>Cash &amp; ST investments (30-Jun-2026)</t>
        </is>
      </c>
      <c r="B88" s="4" t="n">
        <v>43524</v>
      </c>
    </row>
    <row r="89">
      <c r="A89" t="inlineStr">
        <is>
          <t>Less: minimum operating cash</t>
        </is>
      </c>
      <c r="B89" s="4" t="n">
        <v>-15513.825</v>
      </c>
    </row>
    <row r="90">
      <c r="A90" t="inlineStr">
        <is>
          <t>Excess cash</t>
        </is>
      </c>
      <c r="B90" s="4" t="n">
        <v>28010.175</v>
      </c>
    </row>
    <row r="91">
      <c r="A91" t="inlineStr">
        <is>
          <t>Digital assets (30-Jun-2026)</t>
        </is>
      </c>
      <c r="B91" s="4" t="n">
        <v>674</v>
      </c>
    </row>
    <row r="92">
      <c r="A92" t="inlineStr">
        <is>
          <t>SpaceX equity investment (carrying value)</t>
        </is>
      </c>
      <c r="B92" s="4" t="n">
        <v>3007</v>
      </c>
    </row>
    <row r="93">
      <c r="A93" t="inlineStr">
        <is>
          <t>Total non-operating assets</t>
        </is>
      </c>
      <c r="B93" s="4" t="n">
        <v>31691.175</v>
      </c>
    </row>
    <row r="94">
      <c r="A94" t="inlineStr">
        <is>
          <t>Debt (ex-finance leases, 30-Jun-2026)</t>
        </is>
      </c>
      <c r="B94" s="4" t="n">
        <v>-9061</v>
      </c>
    </row>
    <row r="95">
      <c r="A95" t="inlineStr">
        <is>
          <t>Finance lease liabilities (30-Jun-2026)</t>
        </is>
      </c>
      <c r="B95" s="4" t="n">
        <v>-281</v>
      </c>
    </row>
    <row r="96">
      <c r="A96" t="inlineStr">
        <is>
          <t>Revolver (30-Jun-2026)</t>
        </is>
      </c>
      <c r="B96" s="4" t="n">
        <v>-0</v>
      </c>
    </row>
    <row r="97">
      <c r="A97" t="inlineStr">
        <is>
          <t>Noncontrolling interests incl. redeemable NCI (30-Jun-2026)</t>
        </is>
      </c>
      <c r="B97" s="4" t="n">
        <v>-661</v>
      </c>
    </row>
    <row r="98">
      <c r="A98" t="inlineStr">
        <is>
          <t>Equity value</t>
        </is>
      </c>
      <c r="B98" s="4" t="n">
        <v>96363.69808027611</v>
      </c>
    </row>
    <row r="99">
      <c r="A99" t="inlineStr">
        <is>
          <t>Diluted shares (M)</t>
        </is>
      </c>
      <c r="B99" s="4" t="n">
        <v>3540</v>
      </c>
    </row>
    <row r="100">
      <c r="A100" t="inlineStr">
        <is>
          <t>Implied value per share ($)</t>
        </is>
      </c>
      <c r="B100" s="5" t="n">
        <v>27.22138363849608</v>
      </c>
    </row>
    <row r="101"/>
    <row r="102">
      <c r="A102" s="1" t="inlineStr">
        <is>
          <t>FCFF-to-FCFE reconciliation (residual is not forced to zero)</t>
        </is>
      </c>
    </row>
    <row r="103">
      <c r="A103" s="6" t="inlineStr">
        <is>
          <t>The recurring -$60M residual is net income attributable to noncontrolling interests, which FCFE to common excludes.</t>
        </is>
      </c>
    </row>
    <row r="104">
      <c r="A104" s="3" t="inlineStr">
        <is>
          <t>Year</t>
        </is>
      </c>
      <c r="B104" s="3" t="inlineStr">
        <is>
          <t>FCFF</t>
        </is>
      </c>
      <c r="C104" s="3" t="inlineStr">
        <is>
          <t>- After-tax interest expense</t>
        </is>
      </c>
      <c r="D104" s="3" t="inlineStr">
        <is>
          <t>+ After-tax interest income</t>
        </is>
      </c>
      <c r="E104" s="3" t="inlineStr">
        <is>
          <t>+ Net borrowing</t>
        </is>
      </c>
      <c r="F104" s="3" t="inlineStr">
        <is>
          <t>Implied FCFE</t>
        </is>
      </c>
      <c r="G104" s="3" t="inlineStr">
        <is>
          <t>Model FCFE</t>
        </is>
      </c>
      <c r="H104" s="3" t="inlineStr">
        <is>
          <t>Residual</t>
        </is>
      </c>
    </row>
    <row r="105">
      <c r="A105" t="inlineStr">
        <is>
          <t>FY2026E</t>
        </is>
      </c>
      <c r="B105" s="4" t="n">
        <v>-11114.56936221918</v>
      </c>
      <c r="C105" s="4" t="n">
        <v>-254.12784</v>
      </c>
      <c r="D105" s="4" t="n">
        <v>1274.803106</v>
      </c>
      <c r="E105" s="4" t="n">
        <v>920</v>
      </c>
      <c r="F105" s="4" t="n">
        <v>-9173.894096219179</v>
      </c>
      <c r="G105" s="4" t="n">
        <v>-9233.894096219181</v>
      </c>
      <c r="H105" s="5" t="n">
        <v>-60.00000000000182</v>
      </c>
    </row>
    <row r="106">
      <c r="A106" t="inlineStr">
        <is>
          <t>FY2027E</t>
        </is>
      </c>
      <c r="B106" s="4" t="n">
        <v>-5923.735623197801</v>
      </c>
      <c r="C106" s="4" t="n">
        <v>-290.157</v>
      </c>
      <c r="D106" s="4" t="n">
        <v>988.0503306283725</v>
      </c>
      <c r="E106" s="4" t="n">
        <v>-80</v>
      </c>
      <c r="F106" s="4" t="n">
        <v>-5305.842292569429</v>
      </c>
      <c r="G106" s="4" t="n">
        <v>-5365.842292569429</v>
      </c>
      <c r="H106" s="4" t="n">
        <v>-60</v>
      </c>
    </row>
    <row r="107">
      <c r="A107" t="inlineStr">
        <is>
          <t>FY2028E</t>
        </is>
      </c>
      <c r="B107" s="4" t="n">
        <v>996.6366916933803</v>
      </c>
      <c r="C107" s="4" t="n">
        <v>-294.02576</v>
      </c>
      <c r="D107" s="4" t="n">
        <v>867.6258854707576</v>
      </c>
      <c r="E107" s="4" t="n">
        <v>420</v>
      </c>
      <c r="F107" s="4" t="n">
        <v>1990.236817164138</v>
      </c>
      <c r="G107" s="4" t="n">
        <v>1930.236817164139</v>
      </c>
      <c r="H107" s="5" t="n">
        <v>-59.99999999999864</v>
      </c>
    </row>
    <row r="108">
      <c r="A108" t="inlineStr">
        <is>
          <t>FY2029E</t>
        </is>
      </c>
      <c r="B108" s="4" t="n">
        <v>5810.353099557869</v>
      </c>
      <c r="C108" s="4" t="n">
        <v>-313.67952</v>
      </c>
      <c r="D108" s="4" t="n">
        <v>963.348745397102</v>
      </c>
      <c r="E108" s="4" t="n">
        <v>-2580</v>
      </c>
      <c r="F108" s="4" t="n">
        <v>3880.022324954972</v>
      </c>
      <c r="G108" s="4" t="n">
        <v>3820.022324954971</v>
      </c>
      <c r="H108" s="5" t="n">
        <v>-60.00000000000091</v>
      </c>
    </row>
    <row r="109">
      <c r="A109" t="inlineStr">
        <is>
          <t>FY2030E</t>
        </is>
      </c>
      <c r="B109" s="4" t="n">
        <v>9028.823439720385</v>
      </c>
      <c r="C109" s="4" t="n">
        <v>-234.75452</v>
      </c>
      <c r="D109" s="4" t="n">
        <v>1104.551247534522</v>
      </c>
      <c r="E109" s="4" t="n">
        <v>420</v>
      </c>
      <c r="F109" s="4" t="n">
        <v>10318.62016725491</v>
      </c>
      <c r="G109" s="4" t="n">
        <v>10258.62016725491</v>
      </c>
      <c r="H109" s="4" t="n">
        <v>-60</v>
      </c>
    </row>
    <row r="110"/>
    <row r="111">
      <c r="A111" s="1" t="inlineStr">
        <is>
          <t>FCFF WACC x terminal growth ($/share)</t>
        </is>
      </c>
    </row>
    <row r="112">
      <c r="A112" s="3" t="inlineStr">
        <is>
          <t>WACC \ terminal growth</t>
        </is>
      </c>
      <c r="B112" s="3" t="inlineStr">
        <is>
          <t>1%</t>
        </is>
      </c>
      <c r="C112" s="3" t="inlineStr">
        <is>
          <t>2%</t>
        </is>
      </c>
      <c r="D112" s="3" t="inlineStr">
        <is>
          <t>3%</t>
        </is>
      </c>
      <c r="E112" s="3" t="inlineStr">
        <is>
          <t>4%</t>
        </is>
      </c>
    </row>
    <row r="113">
      <c r="A113" t="inlineStr">
        <is>
          <t>8%</t>
        </is>
      </c>
      <c r="B113" s="17" t="n">
        <v>28.78633606759022</v>
      </c>
      <c r="C113" s="17" t="n">
        <v>33.89259403688229</v>
      </c>
      <c r="D113" s="17" t="n">
        <v>41.04135519389113</v>
      </c>
      <c r="E113" s="17" t="n">
        <v>51.76449692940442</v>
      </c>
    </row>
    <row r="114">
      <c r="A114" t="inlineStr">
        <is>
          <t>9%</t>
        </is>
      </c>
      <c r="B114" s="17" t="n">
        <v>24.90612892456651</v>
      </c>
      <c r="C114" s="17" t="n">
        <v>28.70402546050117</v>
      </c>
      <c r="D114" s="17" t="n">
        <v>33.76788750841403</v>
      </c>
      <c r="E114" s="17" t="n">
        <v>40.85729437549205</v>
      </c>
    </row>
    <row r="115">
      <c r="A115" t="inlineStr">
        <is>
          <t>10%</t>
        </is>
      </c>
      <c r="B115" s="17" t="n">
        <v>21.90684407510707</v>
      </c>
      <c r="C115" s="17" t="n">
        <v>24.83455982957329</v>
      </c>
      <c r="D115" s="17" t="n">
        <v>28.59876579960125</v>
      </c>
      <c r="E115" s="17" t="n">
        <v>33.61770709297188</v>
      </c>
    </row>
    <row r="116">
      <c r="A116" t="inlineStr">
        <is>
          <t>11%</t>
        </is>
      </c>
      <c r="B116" s="17" t="n">
        <v>19.52361159964041</v>
      </c>
      <c r="C116" s="17" t="n">
        <v>21.84378851173586</v>
      </c>
      <c r="D116" s="17" t="n">
        <v>24.74400965185515</v>
      </c>
      <c r="E116" s="17" t="n">
        <v>28.47286540343711</v>
      </c>
    </row>
    <row r="117">
      <c r="A117" t="inlineStr">
        <is>
          <t>12%</t>
        </is>
      </c>
      <c r="B117" s="17" t="n">
        <v>17.58790187193779</v>
      </c>
      <c r="C117" s="17" t="n">
        <v>19.46749550819456</v>
      </c>
      <c r="D117" s="17" t="n">
        <v>21.76477661917504</v>
      </c>
      <c r="E117" s="17" t="n">
        <v>24.63637800790065</v>
      </c>
    </row>
    <row r="118">
      <c r="A118" t="inlineStr">
        <is>
          <t>13%</t>
        </is>
      </c>
      <c r="B118" s="17" t="n">
        <v>15.98738262098042</v>
      </c>
      <c r="C118" s="17" t="n">
        <v>17.53756845184733</v>
      </c>
      <c r="D118" s="17" t="n">
        <v>19.39779144888761</v>
      </c>
      <c r="E118" s="17" t="n">
        <v>21.67139733415908</v>
      </c>
    </row>
    <row r="119"/>
    <row r="120">
      <c r="A120" s="1" t="inlineStr">
        <is>
          <t>SECONDARY cross-check: trading multiples (not the primary valuation)</t>
        </is>
      </c>
    </row>
    <row r="121">
      <c r="A121" s="3" t="inlineStr">
        <is>
          <t>Method</t>
        </is>
      </c>
      <c r="B121" s="3" t="inlineStr">
        <is>
          <t>Multiple</t>
        </is>
      </c>
      <c r="C121" s="3" t="inlineStr">
        <is>
          <t>Implied value per share</t>
        </is>
      </c>
    </row>
    <row r="122">
      <c r="A122" t="inlineStr">
        <is>
          <t>Peer median EV / revenue (LFY) x FY2026E revenue</t>
        </is>
      </c>
      <c r="B122" s="19" t="n">
        <v>1.999295763873452</v>
      </c>
      <c r="C122" s="17" t="n">
        <v>68.06784294533719</v>
      </c>
    </row>
    <row r="123">
      <c r="A123" t="inlineStr">
        <is>
          <t>Peer median P/E (profitable peers) x FY2026E net income</t>
        </is>
      </c>
      <c r="B123" s="19" t="n">
        <v>25.62435544230885</v>
      </c>
      <c r="C123" s="17" t="n">
        <v>18.48208468412002</v>
      </c>
    </row>
    <row r="124">
      <c r="A124" t="inlineStr">
        <is>
          <t>Forward P/E 15x (judgment) x FY2027E EPS</t>
        </is>
      </c>
      <c r="B124" s="19" t="n">
        <v>15</v>
      </c>
      <c r="C124" s="17" t="n">
        <v>6.220258906991879</v>
      </c>
    </row>
    <row r="125">
      <c r="A125" t="inlineStr">
        <is>
          <t>Forward P/E 40x (judgment) x FY2027E EPS</t>
        </is>
      </c>
      <c r="B125" s="19" t="n">
        <v>40</v>
      </c>
      <c r="C125" s="17" t="n">
        <v>16.58735708531168</v>
      </c>
    </row>
    <row r="126">
      <c r="A126" t="inlineStr">
        <is>
          <t>Market-implied P/E on FY2026E net income (price x shares / NI)</t>
        </is>
      </c>
      <c r="B126" s="19" t="n">
        <v>524.4220341864972</v>
      </c>
      <c r="C126" s="17" t="n">
        <v>378.25</v>
      </c>
    </row>
    <row r="127">
      <c r="A127" t="inlineStr">
        <is>
          <t>Market-implied P/E on FY2027E net income</t>
        </is>
      </c>
      <c r="B127" s="19" t="n">
        <v>903.9883221293445</v>
      </c>
      <c r="C127" s="17" t="n">
        <v>378.25</v>
      </c>
    </row>
    <row r="128">
      <c r="A128" t="inlineStr">
        <is>
          <t>Market-implied EV / FY2026E revenue</t>
        </is>
      </c>
      <c r="B128" s="19" t="n">
        <v>12.61606663733799</v>
      </c>
      <c r="C128" s="17" t="n">
        <v>378.25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36" customWidth="1" min="3" max="3"/>
    <col width="60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3" customWidth="1" min="10" max="10"/>
    <col width="25" customWidth="1" min="11" max="11"/>
    <col width="20" customWidth="1" min="12" max="12"/>
    <col width="37" customWidth="1" min="13" max="13"/>
    <col width="20" customWidth="1" min="14" max="14"/>
  </cols>
  <sheetData>
    <row r="1">
      <c r="A1" s="1" t="inlineStr">
        <is>
          <t>Scenario summary (each scenario = full model re-run)</t>
        </is>
      </c>
    </row>
    <row r="2">
      <c r="A2" s="3" t="inlineStr">
        <is>
          <t>Scenario</t>
        </is>
      </c>
      <c r="B2" s="3" t="inlineStr">
        <is>
          <t>Status</t>
        </is>
      </c>
      <c r="C2" s="3" t="inlineStr">
        <is>
          <t>Implied value / share ($)</t>
        </is>
      </c>
      <c r="D2" s="3" t="inlineStr">
        <is>
          <t>Market price ($)</t>
        </is>
      </c>
      <c r="E2" s="3" t="inlineStr">
        <is>
          <t>Upside / (downside)</t>
        </is>
      </c>
      <c r="F2" s="3" t="inlineStr">
        <is>
          <t>Cost of equity</t>
        </is>
      </c>
      <c r="G2" s="3" t="inlineStr">
        <is>
          <t>Terminal growth</t>
        </is>
      </c>
      <c r="H2" s="3" t="inlineStr">
        <is>
          <t>TV % of DCF value</t>
        </is>
      </c>
      <c r="I2" s="3" t="inlineStr">
        <is>
          <t>FY2030E revenue ($M)</t>
        </is>
      </c>
      <c r="J2" s="3" t="inlineStr">
        <is>
          <t>FY2030E EBITDA margin</t>
        </is>
      </c>
      <c r="K2" s="3" t="inlineStr">
        <is>
          <t>FY2030E net income ($M)</t>
        </is>
      </c>
      <c r="L2" s="3" t="inlineStr">
        <is>
          <t>FY2030E FCFE ($M)</t>
        </is>
      </c>
      <c r="M2" s="3" t="inlineStr">
        <is>
          <t>Min. cash &amp; inv. over forecast ($M)</t>
        </is>
      </c>
      <c r="N2" s="3" t="inlineStr">
        <is>
          <t>Peak revolver ($M)</t>
        </is>
      </c>
    </row>
    <row r="3">
      <c r="A3" t="inlineStr">
        <is>
          <t>Base</t>
        </is>
      </c>
      <c r="B3" t="inlineStr">
        <is>
          <t>OK</t>
        </is>
      </c>
      <c r="C3" s="17" t="n">
        <v>29.04952925246318</v>
      </c>
      <c r="D3" s="17" t="n">
        <v>378.25</v>
      </c>
      <c r="E3" s="8" t="n">
        <v>-0.9232001870390927</v>
      </c>
      <c r="F3" s="8" t="n">
        <v>0.1037750355563377</v>
      </c>
      <c r="G3" s="8" t="n">
        <v>0.03</v>
      </c>
      <c r="H3" s="8" t="n">
        <v>1.102374164826858</v>
      </c>
      <c r="I3" s="4" t="n">
        <v>153474.5849952</v>
      </c>
      <c r="J3" s="8" t="n">
        <v>0.1175374908502914</v>
      </c>
      <c r="K3" s="4" t="n">
        <v>5309.19016948322</v>
      </c>
      <c r="L3" s="4" t="n">
        <v>10258.62016725491</v>
      </c>
      <c r="M3" s="4" t="n">
        <v>29197.26361121138</v>
      </c>
      <c r="N3" s="4" t="n">
        <v>0</v>
      </c>
    </row>
    <row r="4">
      <c r="A4" t="inlineStr">
        <is>
          <t>Bull</t>
        </is>
      </c>
      <c r="B4" t="inlineStr">
        <is>
          <t>OK</t>
        </is>
      </c>
      <c r="C4" s="17" t="n">
        <v>87.8324856137888</v>
      </c>
      <c r="D4" s="17" t="n">
        <v>378.25</v>
      </c>
      <c r="E4" s="8" t="n">
        <v>-0.7677925033343322</v>
      </c>
      <c r="F4" s="8" t="n">
        <v>0.1037750355563377</v>
      </c>
      <c r="G4" s="8" t="n">
        <v>0.03</v>
      </c>
      <c r="H4" s="8" t="n">
        <v>0.9049552270632522</v>
      </c>
      <c r="I4" s="4" t="n">
        <v>224731.54603904</v>
      </c>
      <c r="J4" s="8" t="n">
        <v>0.179503741528035</v>
      </c>
      <c r="K4" s="4" t="n">
        <v>22569.2357093541</v>
      </c>
      <c r="L4" s="4" t="n">
        <v>31641.66090045225</v>
      </c>
      <c r="M4" s="4" t="n">
        <v>34495.44700707331</v>
      </c>
      <c r="N4" s="4" t="n">
        <v>0</v>
      </c>
    </row>
    <row r="5">
      <c r="A5" t="inlineStr">
        <is>
          <t>Bear</t>
        </is>
      </c>
      <c r="B5" t="inlineStr">
        <is>
          <t>OK</t>
        </is>
      </c>
      <c r="C5" s="17" t="n">
        <v>4.157272730646054</v>
      </c>
      <c r="D5" s="17" t="n">
        <v>378.25</v>
      </c>
      <c r="E5" s="8" t="n">
        <v>-0.9890091930452186</v>
      </c>
      <c r="F5" s="8" t="n">
        <v>0.1037750355563377</v>
      </c>
      <c r="G5" s="8" t="n">
        <v>0.03</v>
      </c>
      <c r="H5" s="8" t="n">
        <v>-0.06824835947926092</v>
      </c>
      <c r="I5" s="4" t="n">
        <v>111130.6362688</v>
      </c>
      <c r="J5" s="8" t="n">
        <v>0.06764427618911148</v>
      </c>
      <c r="K5" s="4" t="n">
        <v>-2030.920716823554</v>
      </c>
      <c r="L5" s="4" t="n">
        <v>2573.590948510433</v>
      </c>
      <c r="M5" s="4" t="n">
        <v>27807.15051242834</v>
      </c>
      <c r="N5" s="4" t="n">
        <v>0</v>
      </c>
    </row>
    <row r="6">
      <c r="A6" t="inlineStr">
        <is>
          <t>Recession / downside</t>
        </is>
      </c>
      <c r="B6" t="inlineStr">
        <is>
          <t>OK</t>
        </is>
      </c>
      <c r="C6" s="17" t="n">
        <v>3.021320892661106</v>
      </c>
      <c r="D6" s="17" t="n">
        <v>378.25</v>
      </c>
      <c r="E6" s="8" t="n">
        <v>-0.992012370409356</v>
      </c>
      <c r="F6" s="8" t="n">
        <v>0.1037778859765595</v>
      </c>
      <c r="G6" s="8" t="n">
        <v>0.03</v>
      </c>
      <c r="H6" s="8" t="n">
        <v>-0.3774779466799331</v>
      </c>
      <c r="I6" s="4" t="n">
        <v>112637.923808</v>
      </c>
      <c r="J6" s="8" t="n">
        <v>0.07702522892212446</v>
      </c>
      <c r="K6" s="4" t="n">
        <v>-1672.732005909667</v>
      </c>
      <c r="L6" s="4" t="n">
        <v>1493.189275587454</v>
      </c>
      <c r="M6" s="4" t="n">
        <v>15222.807792</v>
      </c>
      <c r="N6" s="4" t="n">
        <v>460.9855667029842</v>
      </c>
    </row>
    <row r="7"/>
    <row r="8">
      <c r="A8" s="1" t="inlineStr">
        <is>
          <t>Price / implied-value bridge</t>
        </is>
      </c>
    </row>
    <row r="9">
      <c r="A9" s="3" t="inlineStr">
        <is>
          <t>Case</t>
        </is>
      </c>
      <c r="B9" s="3" t="inlineStr">
        <is>
          <t>Value per share ($)</t>
        </is>
      </c>
      <c r="C9" s="3" t="inlineStr">
        <is>
          <t>Cost of equity</t>
        </is>
      </c>
      <c r="D9" s="3" t="inlineStr">
        <is>
          <t>Type</t>
        </is>
      </c>
      <c r="E9" s="3" t="inlineStr">
        <is>
          <t>vs. market price</t>
        </is>
      </c>
    </row>
    <row r="10">
      <c r="A10" t="inlineStr">
        <is>
          <t>Market price (2026-09-24)</t>
        </is>
      </c>
      <c r="B10" s="17" t="n">
        <v>378.25</v>
      </c>
      <c r="D10" t="inlineStr">
        <is>
          <t>market</t>
        </is>
      </c>
      <c r="E10" s="8" t="n">
        <v>0</v>
      </c>
    </row>
    <row r="11">
      <c r="A11" t="inlineStr">
        <is>
          <t>Recession / downside case</t>
        </is>
      </c>
      <c r="B11" s="17" t="n">
        <v>3.021320892661106</v>
      </c>
      <c r="C11" s="8" t="n">
        <v>0.1037778859765595</v>
      </c>
      <c r="D11" t="inlineStr">
        <is>
          <t>scenario</t>
        </is>
      </c>
      <c r="E11" s="8" t="n">
        <v>-0.992012370409356</v>
      </c>
    </row>
    <row r="12">
      <c r="A12" t="inlineStr">
        <is>
          <t>Bear case</t>
        </is>
      </c>
      <c r="B12" s="17" t="n">
        <v>4.157272730646054</v>
      </c>
      <c r="C12" s="8" t="n">
        <v>0.1037750355563377</v>
      </c>
      <c r="D12" t="inlineStr">
        <is>
          <t>scenario</t>
        </is>
      </c>
      <c r="E12" s="8" t="n">
        <v>-0.9890091930452186</v>
      </c>
    </row>
    <row r="13">
      <c r="A13" t="inlineStr">
        <is>
          <t>Base case</t>
        </is>
      </c>
      <c r="B13" s="17" t="n">
        <v>29.04952925246318</v>
      </c>
      <c r="C13" s="8" t="n">
        <v>0.1037750355563377</v>
      </c>
      <c r="D13" t="inlineStr">
        <is>
          <t>scenario</t>
        </is>
      </c>
      <c r="E13" s="8" t="n">
        <v>-0.9232001870390927</v>
      </c>
    </row>
    <row r="14">
      <c r="A14" t="inlineStr">
        <is>
          <t>Bull case</t>
        </is>
      </c>
      <c r="B14" s="17" t="n">
        <v>87.8324856137888</v>
      </c>
      <c r="C14" s="8" t="n">
        <v>0.1037750355563377</v>
      </c>
      <c r="D14" t="inlineStr">
        <is>
          <t>scenario</t>
        </is>
      </c>
      <c r="E14" s="8" t="n">
        <v>-0.7677925033343322</v>
      </c>
    </row>
    <row r="15">
      <c r="A15" t="inlineStr">
        <is>
          <t>Base @ observed beta (1.76)</t>
        </is>
      </c>
      <c r="B15" s="17" t="n">
        <v>21.46602831897619</v>
      </c>
      <c r="C15" s="8" t="n">
        <v>0.1303</v>
      </c>
      <c r="D15" t="inlineStr">
        <is>
          <t>discount rate</t>
        </is>
      </c>
      <c r="E15" s="8" t="n">
        <v>-0.9432490989584238</v>
      </c>
    </row>
    <row r="16">
      <c r="A16" t="inlineStr">
        <is>
          <t>Base @ cost of equity 9.4%</t>
        </is>
      </c>
      <c r="B16" s="17" t="n">
        <v>33.60272969086919</v>
      </c>
      <c r="C16" s="8" t="n">
        <v>0.09377503555633766</v>
      </c>
      <c r="D16" t="inlineStr">
        <is>
          <t>discount rate</t>
        </is>
      </c>
      <c r="E16" s="8" t="n">
        <v>-0.9111626445713967</v>
      </c>
    </row>
    <row r="17">
      <c r="A17" t="inlineStr">
        <is>
          <t>Base @ cost of equity 11.4%</t>
        </is>
      </c>
      <c r="B17" s="17" t="n">
        <v>25.60753038189635</v>
      </c>
      <c r="C17" s="8" t="n">
        <v>0.1137750355563377</v>
      </c>
      <c r="D17" t="inlineStr">
        <is>
          <t>discount rate</t>
        </is>
      </c>
      <c r="E17" s="8" t="n">
        <v>-0.9322999857715893</v>
      </c>
    </row>
    <row r="18"/>
    <row r="19">
      <c r="A19" s="1" t="inlineStr">
        <is>
          <t>Cost of equity x terminal growth ($/share; blank = g &gt;= ke, valuation refused)</t>
        </is>
      </c>
    </row>
    <row r="20">
      <c r="A20" s="3" t="inlineStr">
        <is>
          <t>Cost of equity \ terminal growth</t>
        </is>
      </c>
      <c r="B20" s="3" t="inlineStr">
        <is>
          <t>1.00%</t>
        </is>
      </c>
      <c r="C20" s="3" t="inlineStr">
        <is>
          <t>2.00%</t>
        </is>
      </c>
      <c r="D20" s="3" t="inlineStr">
        <is>
          <t>2.50%</t>
        </is>
      </c>
      <c r="E20" s="3" t="inlineStr">
        <is>
          <t>3.00%</t>
        </is>
      </c>
      <c r="F20" s="3" t="inlineStr">
        <is>
          <t>3.50%</t>
        </is>
      </c>
      <c r="G20" s="3" t="inlineStr">
        <is>
          <t>4.00%</t>
        </is>
      </c>
      <c r="H20" s="3" t="inlineStr">
        <is>
          <t>5.00%</t>
        </is>
      </c>
    </row>
    <row r="21">
      <c r="A21" t="inlineStr">
        <is>
          <t>7.38%</t>
        </is>
      </c>
      <c r="B21" s="17" t="n">
        <v>33.24274146514826</v>
      </c>
      <c r="C21" s="17" t="n">
        <v>39.68475376980178</v>
      </c>
      <c r="D21" s="17" t="n">
        <v>43.89582328862239</v>
      </c>
      <c r="E21" s="17" t="n">
        <v>49.06832420443404</v>
      </c>
      <c r="F21" s="17" t="n">
        <v>55.57394391298062</v>
      </c>
      <c r="G21" s="17" t="n">
        <v>64.00430318026882</v>
      </c>
      <c r="H21" s="17" t="n">
        <v>91.49152499293957</v>
      </c>
    </row>
    <row r="22">
      <c r="A22" t="inlineStr">
        <is>
          <t>8.38%</t>
        </is>
      </c>
      <c r="B22" s="17" t="n">
        <v>28.75159665939861</v>
      </c>
      <c r="C22" s="17" t="n">
        <v>33.43943045806044</v>
      </c>
      <c r="D22" s="17" t="n">
        <v>36.38128534191453</v>
      </c>
      <c r="E22" s="17" t="n">
        <v>39.8699534012062</v>
      </c>
      <c r="F22" s="17" t="n">
        <v>44.07351245625434</v>
      </c>
      <c r="G22" s="17" t="n">
        <v>49.23678819053723</v>
      </c>
      <c r="H22" s="17" t="n">
        <v>64.14612877237187</v>
      </c>
    </row>
    <row r="23">
      <c r="A23" t="inlineStr">
        <is>
          <t>9.38%</t>
        </is>
      </c>
      <c r="B23" s="17" t="n">
        <v>25.35575652005088</v>
      </c>
      <c r="C23" s="17" t="n">
        <v>28.91480603967506</v>
      </c>
      <c r="D23" s="17" t="n">
        <v>31.0823085814229</v>
      </c>
      <c r="E23" s="17" t="n">
        <v>33.5895450638836</v>
      </c>
      <c r="F23" s="17" t="n">
        <v>36.52318230866752</v>
      </c>
      <c r="G23" s="17" t="n">
        <v>40.00210528668268</v>
      </c>
      <c r="H23" s="17" t="n">
        <v>49.3427752002576</v>
      </c>
    </row>
    <row r="24">
      <c r="A24" t="inlineStr">
        <is>
          <t>10.38%</t>
        </is>
      </c>
      <c r="B24" s="17" t="n">
        <v>22.70410998685426</v>
      </c>
      <c r="C24" s="17" t="n">
        <v>25.4939046964459</v>
      </c>
      <c r="D24" s="17" t="n">
        <v>27.15432819745918</v>
      </c>
      <c r="E24" s="17" t="n">
        <v>29.03974133275612</v>
      </c>
      <c r="F24" s="17" t="n">
        <v>31.1991970749276</v>
      </c>
      <c r="G24" s="17" t="n">
        <v>33.69712550395983</v>
      </c>
      <c r="H24" s="17" t="n">
        <v>40.08587925553667</v>
      </c>
    </row>
    <row r="25">
      <c r="A25" t="inlineStr">
        <is>
          <t>11.38%</t>
        </is>
      </c>
      <c r="B25" s="17" t="n">
        <v>20.58088341055312</v>
      </c>
      <c r="C25" s="17" t="n">
        <v>22.82289595968698</v>
      </c>
      <c r="D25" s="17" t="n">
        <v>24.13326140225508</v>
      </c>
      <c r="E25" s="17" t="n">
        <v>25.59999503606042</v>
      </c>
      <c r="F25" s="17" t="n">
        <v>27.25286237973954</v>
      </c>
      <c r="G25" s="17" t="n">
        <v>29.12969548814482</v>
      </c>
      <c r="H25" s="17" t="n">
        <v>33.76588511016163</v>
      </c>
    </row>
    <row r="26">
      <c r="A26" t="inlineStr">
        <is>
          <t>12.38%</t>
        </is>
      </c>
      <c r="B26" s="17" t="n">
        <v>18.8461759571659</v>
      </c>
      <c r="C26" s="17" t="n">
        <v>20.68433653618175</v>
      </c>
      <c r="D26" s="17" t="n">
        <v>21.74295330689026</v>
      </c>
      <c r="E26" s="17" t="n">
        <v>22.91442900837794</v>
      </c>
      <c r="F26" s="17" t="n">
        <v>24.21782764922233</v>
      </c>
      <c r="G26" s="17" t="n">
        <v>25.67676312071642</v>
      </c>
      <c r="H26" s="17" t="n">
        <v>29.18769726349894</v>
      </c>
    </row>
    <row r="27">
      <c r="A27" t="inlineStr">
        <is>
          <t>13.38%</t>
        </is>
      </c>
      <c r="B27" s="17" t="n">
        <v>17.40531479005972</v>
      </c>
      <c r="C27" s="17" t="n">
        <v>18.93724434554994</v>
      </c>
      <c r="D27" s="17" t="n">
        <v>19.80881088493269</v>
      </c>
      <c r="E27" s="17" t="n">
        <v>20.76434337223286</v>
      </c>
      <c r="F27" s="17" t="n">
        <v>21.8165896740371</v>
      </c>
      <c r="G27" s="17" t="n">
        <v>22.98101575215309</v>
      </c>
      <c r="H27" s="17" t="n">
        <v>25.72672688623089</v>
      </c>
    </row>
    <row r="28"/>
    <row r="29">
      <c r="A29" s="1" t="inlineStr">
        <is>
          <t>Tornado (ranked by range; full model re-run for each shock)</t>
        </is>
      </c>
    </row>
    <row r="30">
      <c r="A30" s="3" t="inlineStr">
        <is>
          <t>Driver</t>
        </is>
      </c>
      <c r="B30" s="3" t="inlineStr">
        <is>
          <t>Shock</t>
        </is>
      </c>
      <c r="C30" s="3" t="inlineStr">
        <is>
          <t>Low case value</t>
        </is>
      </c>
      <c r="D30" s="3" t="inlineStr">
        <is>
          <t>High case value</t>
        </is>
      </c>
      <c r="E30" s="3" t="inlineStr">
        <is>
          <t>Base value</t>
        </is>
      </c>
      <c r="F30" s="3" t="inlineStr">
        <is>
          <t>Low delta</t>
        </is>
      </c>
      <c r="G30" s="3" t="inlineStr">
        <is>
          <t>High delta</t>
        </is>
      </c>
      <c r="H30" s="3" t="inlineStr">
        <is>
          <t>Range</t>
        </is>
      </c>
    </row>
    <row r="31">
      <c r="A31" t="inlineStr">
        <is>
          <t>Automotive sales cash gross margin, ex-D&amp;A (%)</t>
        </is>
      </c>
      <c r="B31" t="inlineStr">
        <is>
          <t>2.0 pts</t>
        </is>
      </c>
      <c r="C31" s="17" t="n">
        <v>24.01825968947409</v>
      </c>
      <c r="D31" s="17" t="n">
        <v>34.08079881545228</v>
      </c>
      <c r="E31" s="17" t="n">
        <v>29.04952925246318</v>
      </c>
      <c r="F31" s="17" t="n">
        <v>-5.031269562989095</v>
      </c>
      <c r="G31" s="17" t="n">
        <v>5.031269562989102</v>
      </c>
      <c r="H31" s="17" t="n">
        <v>10.0625391259782</v>
      </c>
    </row>
    <row r="32">
      <c r="A32" t="inlineStr">
        <is>
          <t>SG&amp;A ex-D&amp;A (% of revenue)</t>
        </is>
      </c>
      <c r="B32" t="inlineStr">
        <is>
          <t>1.0 pts</t>
        </is>
      </c>
      <c r="C32" s="17" t="n">
        <v>33.18896836234023</v>
      </c>
      <c r="D32" s="17" t="n">
        <v>24.91009014258615</v>
      </c>
      <c r="E32" s="17" t="n">
        <v>29.04952925246318</v>
      </c>
      <c r="F32" s="17" t="n">
        <v>4.139439109877046</v>
      </c>
      <c r="G32" s="17" t="n">
        <v>-4.139439109877028</v>
      </c>
      <c r="H32" s="17" t="n">
        <v>8.278878219754073</v>
      </c>
    </row>
    <row r="33">
      <c r="A33" t="inlineStr">
        <is>
          <t>R&amp;D ex-D&amp;A (% of revenue)</t>
        </is>
      </c>
      <c r="B33" t="inlineStr">
        <is>
          <t>1.0 pts</t>
        </is>
      </c>
      <c r="C33" s="17" t="n">
        <v>33.18896836234022</v>
      </c>
      <c r="D33" s="17" t="n">
        <v>24.91009014258615</v>
      </c>
      <c r="E33" s="17" t="n">
        <v>29.04952925246318</v>
      </c>
      <c r="F33" s="17" t="n">
        <v>4.139439109877038</v>
      </c>
      <c r="G33" s="17" t="n">
        <v>-4.139439109877028</v>
      </c>
      <c r="H33" s="17" t="n">
        <v>8.278878219754066</v>
      </c>
    </row>
    <row r="34">
      <c r="A34" t="inlineStr">
        <is>
          <t>Capital expenditures ($M)</t>
        </is>
      </c>
      <c r="B34" t="inlineStr">
        <is>
          <t>10%</t>
        </is>
      </c>
      <c r="C34" s="17" t="n">
        <v>33.17855741530096</v>
      </c>
      <c r="D34" s="17" t="n">
        <v>24.9205010896254</v>
      </c>
      <c r="E34" s="17" t="n">
        <v>29.04952925246318</v>
      </c>
      <c r="F34" s="17" t="n">
        <v>4.129028162837777</v>
      </c>
      <c r="G34" s="17" t="n">
        <v>-4.129028162837781</v>
      </c>
      <c r="H34" s="17" t="n">
        <v>8.258056325675557</v>
      </c>
    </row>
    <row r="35">
      <c r="A35" t="inlineStr">
        <is>
          <t>Model 3/Y average selling price ($ thousand)</t>
        </is>
      </c>
      <c r="B35" t="inlineStr">
        <is>
          <t>10%</t>
        </is>
      </c>
      <c r="C35" s="17" t="n">
        <v>25.97827756117131</v>
      </c>
      <c r="D35" s="17" t="n">
        <v>32.12078094375508</v>
      </c>
      <c r="E35" s="17" t="n">
        <v>29.04952925246318</v>
      </c>
      <c r="F35" s="17" t="n">
        <v>-3.07125169129187</v>
      </c>
      <c r="G35" s="17" t="n">
        <v>3.071251691291899</v>
      </c>
      <c r="H35" s="17" t="n">
        <v>6.142503382583769</v>
      </c>
    </row>
    <row r="36">
      <c r="A36" t="inlineStr">
        <is>
          <t>Model 3/Y deliveries (thousand units)</t>
        </is>
      </c>
      <c r="B36" t="inlineStr">
        <is>
          <t>10%</t>
        </is>
      </c>
      <c r="C36" s="17" t="n">
        <v>25.97827756117131</v>
      </c>
      <c r="D36" s="17" t="n">
        <v>32.12078094375505</v>
      </c>
      <c r="E36" s="17" t="n">
        <v>29.04952925246318</v>
      </c>
      <c r="F36" s="17" t="n">
        <v>-3.07125169129187</v>
      </c>
      <c r="G36" s="17" t="n">
        <v>3.07125169129187</v>
      </c>
      <c r="H36" s="17" t="n">
        <v>6.14250338258374</v>
      </c>
    </row>
    <row r="37">
      <c r="A37" t="inlineStr">
        <is>
          <t>Services &amp; other revenue growth (%)</t>
        </is>
      </c>
      <c r="B37" t="inlineStr">
        <is>
          <t>5.0 pts</t>
        </is>
      </c>
      <c r="C37" s="17" t="n">
        <v>27.043091247112</v>
      </c>
      <c r="D37" s="17" t="n">
        <v>31.40682041531613</v>
      </c>
      <c r="E37" s="17" t="n">
        <v>29.04952925246318</v>
      </c>
      <c r="F37" s="17" t="n">
        <v>-2.006438005351178</v>
      </c>
      <c r="G37" s="17" t="n">
        <v>2.357291162852945</v>
      </c>
      <c r="H37" s="17" t="n">
        <v>4.363729168204124</v>
      </c>
    </row>
    <row r="38">
      <c r="A38" t="inlineStr">
        <is>
          <t>Services &amp; other cash gross margin (%)</t>
        </is>
      </c>
      <c r="B38" t="inlineStr">
        <is>
          <t>2.0 pts</t>
        </is>
      </c>
      <c r="C38" s="17" t="n">
        <v>27.38500553006626</v>
      </c>
      <c r="D38" s="17" t="n">
        <v>30.7140529748601</v>
      </c>
      <c r="E38" s="17" t="n">
        <v>29.04952925246318</v>
      </c>
      <c r="F38" s="17" t="n">
        <v>-1.664523722396918</v>
      </c>
      <c r="G38" s="17" t="n">
        <v>1.664523722396918</v>
      </c>
      <c r="H38" s="17" t="n">
        <v>3.329047444793837</v>
      </c>
    </row>
    <row r="39">
      <c r="A39" t="inlineStr">
        <is>
          <t>D&amp;A (% of beginning net fixed assets)</t>
        </is>
      </c>
      <c r="B39" t="inlineStr">
        <is>
          <t>1.0 pts</t>
        </is>
      </c>
      <c r="C39" s="17" t="n">
        <v>30.39888679935706</v>
      </c>
      <c r="D39" s="17" t="n">
        <v>27.79251849354111</v>
      </c>
      <c r="E39" s="17" t="n">
        <v>29.04952925246318</v>
      </c>
      <c r="F39" s="17" t="n">
        <v>1.349357546893881</v>
      </c>
      <c r="G39" s="17" t="n">
        <v>-1.257010758922068</v>
      </c>
      <c r="H39" s="17" t="n">
        <v>2.606368305815948</v>
      </c>
    </row>
    <row r="40">
      <c r="A40" t="inlineStr">
        <is>
          <t>Energy storage deployed (GWh)</t>
        </is>
      </c>
      <c r="B40" t="inlineStr">
        <is>
          <t>10%</t>
        </is>
      </c>
      <c r="C40" s="17" t="n">
        <v>27.75887986362322</v>
      </c>
      <c r="D40" s="17" t="n">
        <v>30.34017864130316</v>
      </c>
      <c r="E40" s="17" t="n">
        <v>29.04952925246318</v>
      </c>
      <c r="F40" s="17" t="n">
        <v>-1.290649388839963</v>
      </c>
      <c r="G40" s="17" t="n">
        <v>1.290649388839981</v>
      </c>
      <c r="H40" s="17" t="n">
        <v>2.581298777679944</v>
      </c>
    </row>
    <row r="41">
      <c r="A41" t="inlineStr">
        <is>
          <t>Energy revenue per GWh deployed ($M/GWh)</t>
        </is>
      </c>
      <c r="B41" t="inlineStr">
        <is>
          <t>10%</t>
        </is>
      </c>
      <c r="C41" s="17" t="n">
        <v>27.75887986362322</v>
      </c>
      <c r="D41" s="17" t="n">
        <v>30.34017864130316</v>
      </c>
      <c r="E41" s="17" t="n">
        <v>29.04952925246318</v>
      </c>
      <c r="F41" s="17" t="n">
        <v>-1.290649388839963</v>
      </c>
      <c r="G41" s="17" t="n">
        <v>1.290649388839981</v>
      </c>
      <c r="H41" s="17" t="n">
        <v>2.581298777679944</v>
      </c>
    </row>
    <row r="42">
      <c r="A42" t="inlineStr">
        <is>
          <t>Energy cash gross margin, ex-D&amp;A (%)</t>
        </is>
      </c>
      <c r="B42" t="inlineStr">
        <is>
          <t>2.0 pts</t>
        </is>
      </c>
      <c r="C42" s="17" t="n">
        <v>27.93835660827676</v>
      </c>
      <c r="D42" s="17" t="n">
        <v>30.16070189664962</v>
      </c>
      <c r="E42" s="17" t="n">
        <v>29.04952925246318</v>
      </c>
      <c r="F42" s="17" t="n">
        <v>-1.111172644186425</v>
      </c>
      <c r="G42" s="17" t="n">
        <v>1.111172644186436</v>
      </c>
      <c r="H42" s="17" t="n">
        <v>2.22234528837286</v>
      </c>
    </row>
    <row r="43">
      <c r="A43" t="inlineStr">
        <is>
          <t>Other models deliveries incl. Cybercab/Semi (thousand units)</t>
        </is>
      </c>
      <c r="B43" t="inlineStr">
        <is>
          <t>10%</t>
        </is>
      </c>
      <c r="C43" s="17" t="n">
        <v>28.38554853945804</v>
      </c>
      <c r="D43" s="17" t="n">
        <v>29.71350996546829</v>
      </c>
      <c r="E43" s="17" t="n">
        <v>29.04952925246318</v>
      </c>
      <c r="F43" s="17" t="n">
        <v>-0.6639807130051452</v>
      </c>
      <c r="G43" s="17" t="n">
        <v>0.6639807130051096</v>
      </c>
      <c r="H43" s="17" t="n">
        <v>1.327961426010255</v>
      </c>
    </row>
    <row r="44">
      <c r="A44" t="inlineStr">
        <is>
          <t>Robotaxi / autonomy network revenue ($M)</t>
        </is>
      </c>
      <c r="B44" t="inlineStr">
        <is>
          <t>10%</t>
        </is>
      </c>
      <c r="C44" s="17" t="n">
        <v>28.41891873822483</v>
      </c>
      <c r="D44" s="17" t="n">
        <v>29.68013976670155</v>
      </c>
      <c r="E44" s="17" t="n">
        <v>29.04952925246318</v>
      </c>
      <c r="F44" s="17" t="n">
        <v>-0.6306105142383487</v>
      </c>
      <c r="G44" s="17" t="n">
        <v>0.6306105142383736</v>
      </c>
      <c r="H44" s="17" t="n">
        <v>1.261221028476722</v>
      </c>
    </row>
    <row r="45">
      <c r="A45" t="inlineStr">
        <is>
          <t>Payable days (DPO, on cost of revenues)</t>
        </is>
      </c>
      <c r="B45" t="inlineStr">
        <is>
          <t>5.0 days</t>
        </is>
      </c>
      <c r="C45" s="17" t="n">
        <v>28.48220870156333</v>
      </c>
      <c r="D45" s="17" t="n">
        <v>29.61684980336303</v>
      </c>
      <c r="E45" s="17" t="n">
        <v>29.04952925246318</v>
      </c>
      <c r="F45" s="17" t="n">
        <v>-0.5673205508998542</v>
      </c>
      <c r="G45" s="17" t="n">
        <v>0.5673205508998542</v>
      </c>
      <c r="H45" s="17" t="n">
        <v>1.134641101799708</v>
      </c>
    </row>
    <row r="46">
      <c r="A46" t="inlineStr">
        <is>
          <t>Inventory days (DIO, on cost of revenues)</t>
        </is>
      </c>
      <c r="B46" t="inlineStr">
        <is>
          <t>5.0 days</t>
        </is>
      </c>
      <c r="C46" s="17" t="n">
        <v>29.61684980336303</v>
      </c>
      <c r="D46" s="17" t="n">
        <v>28.48220870156333</v>
      </c>
      <c r="E46" s="17" t="n">
        <v>29.04952925246318</v>
      </c>
      <c r="F46" s="17" t="n">
        <v>0.5673205508998542</v>
      </c>
      <c r="G46" s="17" t="n">
        <v>-0.5673205508998507</v>
      </c>
      <c r="H46" s="17" t="n">
        <v>1.134641101799705</v>
      </c>
    </row>
    <row r="47">
      <c r="A47" t="inlineStr">
        <is>
          <t>Effective tax rate (%)</t>
        </is>
      </c>
      <c r="B47" t="inlineStr">
        <is>
          <t>3.0 pts</t>
        </is>
      </c>
      <c r="C47" s="17" t="n">
        <v>29.56090740974122</v>
      </c>
      <c r="D47" s="17" t="n">
        <v>28.53815109518516</v>
      </c>
      <c r="E47" s="17" t="n">
        <v>29.04952925246318</v>
      </c>
      <c r="F47" s="17" t="n">
        <v>0.5113781572780418</v>
      </c>
      <c r="G47" s="17" t="n">
        <v>-0.511378157278024</v>
      </c>
      <c r="H47" s="17" t="n">
        <v>1.022756314556066</v>
      </c>
    </row>
    <row r="48">
      <c r="A48" t="inlineStr">
        <is>
          <t>Receivable days (DSO, on revenue)</t>
        </is>
      </c>
      <c r="B48" t="inlineStr">
        <is>
          <t>3.0 days</t>
        </is>
      </c>
      <c r="C48" s="17" t="n">
        <v>29.4666665166754</v>
      </c>
      <c r="D48" s="17" t="n">
        <v>28.63239198825095</v>
      </c>
      <c r="E48" s="17" t="n">
        <v>29.04952925246318</v>
      </c>
      <c r="F48" s="17" t="n">
        <v>0.4171372642122222</v>
      </c>
      <c r="G48" s="17" t="n">
        <v>-0.4171372642122329</v>
      </c>
      <c r="H48" s="17" t="n">
        <v>0.834274528424455</v>
      </c>
    </row>
    <row r="49"/>
    <row r="50">
      <c r="A50" s="1" t="inlineStr">
        <is>
          <t>One-variable sensitivities ($/share at each shock step)</t>
        </is>
      </c>
    </row>
    <row r="51">
      <c r="A51" s="3" t="inlineStr">
        <is>
          <t>Driver</t>
        </is>
      </c>
      <c r="B51" s="3" t="inlineStr">
        <is>
          <t>ID</t>
        </is>
      </c>
      <c r="C51" s="3" t="inlineStr">
        <is>
          <t>Shock unit</t>
        </is>
      </c>
      <c r="D51" s="3" t="inlineStr">
        <is>
          <t>step -2</t>
        </is>
      </c>
      <c r="E51" s="3" t="inlineStr">
        <is>
          <t>label -2</t>
        </is>
      </c>
      <c r="F51" s="3" t="inlineStr">
        <is>
          <t>step -1</t>
        </is>
      </c>
      <c r="G51" s="3" t="inlineStr">
        <is>
          <t>label -1</t>
        </is>
      </c>
      <c r="H51" s="3" t="inlineStr">
        <is>
          <t>step +0</t>
        </is>
      </c>
      <c r="I51" s="3" t="inlineStr">
        <is>
          <t>label +0</t>
        </is>
      </c>
      <c r="J51" s="3" t="inlineStr">
        <is>
          <t>step +1</t>
        </is>
      </c>
      <c r="K51" s="3" t="inlineStr">
        <is>
          <t>label +1</t>
        </is>
      </c>
      <c r="L51" s="3" t="inlineStr">
        <is>
          <t>step +2</t>
        </is>
      </c>
      <c r="M51" s="3" t="inlineStr">
        <is>
          <t>label +2</t>
        </is>
      </c>
    </row>
    <row r="52">
      <c r="A52" t="inlineStr">
        <is>
          <t>Model 3/Y deliveries (thousand units)</t>
        </is>
      </c>
      <c r="B52" t="inlineStr">
        <is>
          <t>deliveries_3y</t>
        </is>
      </c>
      <c r="C52" t="inlineStr">
        <is>
          <t>relative %</t>
        </is>
      </c>
      <c r="D52" s="17" t="n">
        <v>22.9070258698794</v>
      </c>
      <c r="E52" t="inlineStr">
        <is>
          <t>-20%</t>
        </is>
      </c>
      <c r="F52" s="17" t="n">
        <v>25.97827756117131</v>
      </c>
      <c r="G52" t="inlineStr">
        <is>
          <t>-10%</t>
        </is>
      </c>
      <c r="H52" s="17" t="n">
        <v>29.04952925246318</v>
      </c>
      <c r="I52" t="inlineStr">
        <is>
          <t>+0%</t>
        </is>
      </c>
      <c r="J52" s="17" t="n">
        <v>32.12078094375505</v>
      </c>
      <c r="K52" t="inlineStr">
        <is>
          <t>+10%</t>
        </is>
      </c>
      <c r="L52" s="17" t="n">
        <v>35.19203263504691</v>
      </c>
      <c r="M52" t="inlineStr">
        <is>
          <t>+20%</t>
        </is>
      </c>
    </row>
    <row r="53">
      <c r="A53" t="inlineStr">
        <is>
          <t>Other models deliveries incl. Cybercab/Semi (thousand units)</t>
        </is>
      </c>
      <c r="B53" t="inlineStr">
        <is>
          <t>deliveries_other</t>
        </is>
      </c>
      <c r="C53" t="inlineStr">
        <is>
          <t>relative %</t>
        </is>
      </c>
      <c r="D53" s="17" t="n">
        <v>27.72156782645295</v>
      </c>
      <c r="E53" t="inlineStr">
        <is>
          <t>-20%</t>
        </is>
      </c>
      <c r="F53" s="17" t="n">
        <v>28.38554853945804</v>
      </c>
      <c r="G53" t="inlineStr">
        <is>
          <t>-10%</t>
        </is>
      </c>
      <c r="H53" s="17" t="n">
        <v>29.04952925246318</v>
      </c>
      <c r="I53" t="inlineStr">
        <is>
          <t>+0%</t>
        </is>
      </c>
      <c r="J53" s="17" t="n">
        <v>29.71350996546829</v>
      </c>
      <c r="K53" t="inlineStr">
        <is>
          <t>+10%</t>
        </is>
      </c>
      <c r="L53" s="17" t="n">
        <v>30.37749067847341</v>
      </c>
      <c r="M53" t="inlineStr">
        <is>
          <t>+20%</t>
        </is>
      </c>
    </row>
    <row r="54">
      <c r="A54" t="inlineStr">
        <is>
          <t>Model 3/Y average selling price ($ thousand)</t>
        </is>
      </c>
      <c r="B54" t="inlineStr">
        <is>
          <t>asp_3y</t>
        </is>
      </c>
      <c r="C54" t="inlineStr">
        <is>
          <t>relative %</t>
        </is>
      </c>
      <c r="D54" s="17" t="n">
        <v>22.9070258698794</v>
      </c>
      <c r="E54" t="inlineStr">
        <is>
          <t>-20%</t>
        </is>
      </c>
      <c r="F54" s="17" t="n">
        <v>25.97827756117131</v>
      </c>
      <c r="G54" t="inlineStr">
        <is>
          <t>-10%</t>
        </is>
      </c>
      <c r="H54" s="17" t="n">
        <v>29.04952925246318</v>
      </c>
      <c r="I54" t="inlineStr">
        <is>
          <t>+0%</t>
        </is>
      </c>
      <c r="J54" s="17" t="n">
        <v>32.12078094375508</v>
      </c>
      <c r="K54" t="inlineStr">
        <is>
          <t>+10%</t>
        </is>
      </c>
      <c r="L54" s="17" t="n">
        <v>35.19203263504691</v>
      </c>
      <c r="M54" t="inlineStr">
        <is>
          <t>+20%</t>
        </is>
      </c>
    </row>
    <row r="55">
      <c r="A55" t="inlineStr">
        <is>
          <t>Services &amp; other revenue growth (%)</t>
        </is>
      </c>
      <c r="B55" t="inlineStr">
        <is>
          <t>services_growth</t>
        </is>
      </c>
      <c r="C55" t="inlineStr">
        <is>
          <t>absolute</t>
        </is>
      </c>
      <c r="D55" s="17" t="n">
        <v>25.3465894145164</v>
      </c>
      <c r="E55" t="inlineStr">
        <is>
          <t>-10.0 pts</t>
        </is>
      </c>
      <c r="F55" s="17" t="n">
        <v>27.043091247112</v>
      </c>
      <c r="G55" t="inlineStr">
        <is>
          <t>-5.0 pts</t>
        </is>
      </c>
      <c r="H55" s="17" t="n">
        <v>29.04952925246318</v>
      </c>
      <c r="I55" t="inlineStr">
        <is>
          <t>+0.0 pts</t>
        </is>
      </c>
      <c r="J55" s="17" t="n">
        <v>31.40682041531613</v>
      </c>
      <c r="K55" t="inlineStr">
        <is>
          <t>+5.0 pts</t>
        </is>
      </c>
      <c r="L55" s="17" t="n">
        <v>34.15936329216975</v>
      </c>
      <c r="M55" t="inlineStr">
        <is>
          <t>+10.0 pts</t>
        </is>
      </c>
    </row>
    <row r="56">
      <c r="A56" t="inlineStr">
        <is>
          <t>Robotaxi / autonomy network revenue ($M)</t>
        </is>
      </c>
      <c r="B56" t="inlineStr">
        <is>
          <t>autonomy_rev</t>
        </is>
      </c>
      <c r="C56" t="inlineStr">
        <is>
          <t>relative %</t>
        </is>
      </c>
      <c r="D56" s="17" t="n">
        <v>27.78830822398647</v>
      </c>
      <c r="E56" t="inlineStr">
        <is>
          <t>-20%</t>
        </is>
      </c>
      <c r="F56" s="17" t="n">
        <v>28.41891873822483</v>
      </c>
      <c r="G56" t="inlineStr">
        <is>
          <t>-10%</t>
        </is>
      </c>
      <c r="H56" s="17" t="n">
        <v>29.04952925246318</v>
      </c>
      <c r="I56" t="inlineStr">
        <is>
          <t>+0%</t>
        </is>
      </c>
      <c r="J56" s="17" t="n">
        <v>29.68013976670155</v>
      </c>
      <c r="K56" t="inlineStr">
        <is>
          <t>+10%</t>
        </is>
      </c>
      <c r="L56" s="17" t="n">
        <v>30.31075028093992</v>
      </c>
      <c r="M56" t="inlineStr">
        <is>
          <t>+20%</t>
        </is>
      </c>
    </row>
    <row r="57">
      <c r="A57" t="inlineStr">
        <is>
          <t>Energy storage deployed (GWh)</t>
        </is>
      </c>
      <c r="B57" t="inlineStr">
        <is>
          <t>storage_gwh</t>
        </is>
      </c>
      <c r="C57" t="inlineStr">
        <is>
          <t>relative %</t>
        </is>
      </c>
      <c r="D57" s="17" t="n">
        <v>26.46823047478324</v>
      </c>
      <c r="E57" t="inlineStr">
        <is>
          <t>-20%</t>
        </is>
      </c>
      <c r="F57" s="17" t="n">
        <v>27.75887986362322</v>
      </c>
      <c r="G57" t="inlineStr">
        <is>
          <t>-10%</t>
        </is>
      </c>
      <c r="H57" s="17" t="n">
        <v>29.04952925246318</v>
      </c>
      <c r="I57" t="inlineStr">
        <is>
          <t>+0%</t>
        </is>
      </c>
      <c r="J57" s="17" t="n">
        <v>30.34017864130316</v>
      </c>
      <c r="K57" t="inlineStr">
        <is>
          <t>+10%</t>
        </is>
      </c>
      <c r="L57" s="17" t="n">
        <v>31.63082803014314</v>
      </c>
      <c r="M57" t="inlineStr">
        <is>
          <t>+20%</t>
        </is>
      </c>
    </row>
    <row r="58">
      <c r="A58" t="inlineStr">
        <is>
          <t>Energy revenue per GWh deployed ($M/GWh)</t>
        </is>
      </c>
      <c r="B58" t="inlineStr">
        <is>
          <t>energy_rev_per_gwh</t>
        </is>
      </c>
      <c r="C58" t="inlineStr">
        <is>
          <t>relative %</t>
        </is>
      </c>
      <c r="D58" s="17" t="n">
        <v>26.46823047478324</v>
      </c>
      <c r="E58" t="inlineStr">
        <is>
          <t>-20%</t>
        </is>
      </c>
      <c r="F58" s="17" t="n">
        <v>27.75887986362322</v>
      </c>
      <c r="G58" t="inlineStr">
        <is>
          <t>-10%</t>
        </is>
      </c>
      <c r="H58" s="17" t="n">
        <v>29.04952925246318</v>
      </c>
      <c r="I58" t="inlineStr">
        <is>
          <t>+0%</t>
        </is>
      </c>
      <c r="J58" s="17" t="n">
        <v>30.34017864130316</v>
      </c>
      <c r="K58" t="inlineStr">
        <is>
          <t>+10%</t>
        </is>
      </c>
      <c r="L58" s="17" t="n">
        <v>31.63082803014314</v>
      </c>
      <c r="M58" t="inlineStr">
        <is>
          <t>+20%</t>
        </is>
      </c>
    </row>
    <row r="59">
      <c r="A59" t="inlineStr">
        <is>
          <t>Automotive sales cash gross margin, ex-D&amp;A (%)</t>
        </is>
      </c>
      <c r="B59" t="inlineStr">
        <is>
          <t>gm_auto_sales</t>
        </is>
      </c>
      <c r="C59" t="inlineStr">
        <is>
          <t>absolute</t>
        </is>
      </c>
      <c r="D59" s="17" t="n">
        <v>18.87073616513915</v>
      </c>
      <c r="E59" t="inlineStr">
        <is>
          <t>-4.0 pts</t>
        </is>
      </c>
      <c r="F59" s="17" t="n">
        <v>24.01825968947409</v>
      </c>
      <c r="G59" t="inlineStr">
        <is>
          <t>-2.0 pts</t>
        </is>
      </c>
      <c r="H59" s="17" t="n">
        <v>29.04952925246318</v>
      </c>
      <c r="I59" t="inlineStr">
        <is>
          <t>+0.0 pts</t>
        </is>
      </c>
      <c r="J59" s="17" t="n">
        <v>34.08079881545228</v>
      </c>
      <c r="K59" t="inlineStr">
        <is>
          <t>+2.0 pts</t>
        </is>
      </c>
      <c r="L59" s="17" t="n">
        <v>39.11206837844139</v>
      </c>
      <c r="M59" t="inlineStr">
        <is>
          <t>+4.0 pts</t>
        </is>
      </c>
    </row>
    <row r="60">
      <c r="A60" t="inlineStr">
        <is>
          <t>Services &amp; other cash gross margin (%)</t>
        </is>
      </c>
      <c r="B60" t="inlineStr">
        <is>
          <t>gm_services</t>
        </is>
      </c>
      <c r="C60" t="inlineStr">
        <is>
          <t>absolute</t>
        </is>
      </c>
      <c r="D60" s="17" t="n">
        <v>25.72048180766934</v>
      </c>
      <c r="E60" t="inlineStr">
        <is>
          <t>-4.0 pts</t>
        </is>
      </c>
      <c r="F60" s="17" t="n">
        <v>27.38500553006626</v>
      </c>
      <c r="G60" t="inlineStr">
        <is>
          <t>-2.0 pts</t>
        </is>
      </c>
      <c r="H60" s="17" t="n">
        <v>29.04952925246318</v>
      </c>
      <c r="I60" t="inlineStr">
        <is>
          <t>+0.0 pts</t>
        </is>
      </c>
      <c r="J60" s="17" t="n">
        <v>30.7140529748601</v>
      </c>
      <c r="K60" t="inlineStr">
        <is>
          <t>+2.0 pts</t>
        </is>
      </c>
      <c r="L60" s="17" t="n">
        <v>32.37857669725702</v>
      </c>
      <c r="M60" t="inlineStr">
        <is>
          <t>+4.0 pts</t>
        </is>
      </c>
    </row>
    <row r="61">
      <c r="A61" t="inlineStr">
        <is>
          <t>Energy cash gross margin, ex-D&amp;A (%)</t>
        </is>
      </c>
      <c r="B61" t="inlineStr">
        <is>
          <t>gm_energy</t>
        </is>
      </c>
      <c r="C61" t="inlineStr">
        <is>
          <t>absolute</t>
        </is>
      </c>
      <c r="D61" s="17" t="n">
        <v>26.82718396409032</v>
      </c>
      <c r="E61" t="inlineStr">
        <is>
          <t>-4.0 pts</t>
        </is>
      </c>
      <c r="F61" s="17" t="n">
        <v>27.93835660827676</v>
      </c>
      <c r="G61" t="inlineStr">
        <is>
          <t>-2.0 pts</t>
        </is>
      </c>
      <c r="H61" s="17" t="n">
        <v>29.04952925246318</v>
      </c>
      <c r="I61" t="inlineStr">
        <is>
          <t>+0.0 pts</t>
        </is>
      </c>
      <c r="J61" s="17" t="n">
        <v>30.16070189664962</v>
      </c>
      <c r="K61" t="inlineStr">
        <is>
          <t>+2.0 pts</t>
        </is>
      </c>
      <c r="L61" s="17" t="n">
        <v>31.27187454083605</v>
      </c>
      <c r="M61" t="inlineStr">
        <is>
          <t>+4.0 pts</t>
        </is>
      </c>
    </row>
    <row r="62">
      <c r="A62" t="inlineStr">
        <is>
          <t>R&amp;D ex-D&amp;A (% of revenue)</t>
        </is>
      </c>
      <c r="B62" t="inlineStr">
        <is>
          <t>rd_pct</t>
        </is>
      </c>
      <c r="C62" t="inlineStr">
        <is>
          <t>absolute</t>
        </is>
      </c>
      <c r="D62" s="17" t="n">
        <v>37.32840747221724</v>
      </c>
      <c r="E62" t="inlineStr">
        <is>
          <t>-2.0 pts</t>
        </is>
      </c>
      <c r="F62" s="17" t="n">
        <v>33.18896836234022</v>
      </c>
      <c r="G62" t="inlineStr">
        <is>
          <t>-1.0 pts</t>
        </is>
      </c>
      <c r="H62" s="17" t="n">
        <v>29.04952925246318</v>
      </c>
      <c r="I62" t="inlineStr">
        <is>
          <t>+0.0 pts</t>
        </is>
      </c>
      <c r="J62" s="17" t="n">
        <v>24.91009014258615</v>
      </c>
      <c r="K62" t="inlineStr">
        <is>
          <t>+1.0 pts</t>
        </is>
      </c>
      <c r="L62" s="17" t="n">
        <v>20.7481491702536</v>
      </c>
      <c r="M62" t="inlineStr">
        <is>
          <t>+2.0 pts</t>
        </is>
      </c>
    </row>
    <row r="63">
      <c r="A63" t="inlineStr">
        <is>
          <t>SG&amp;A ex-D&amp;A (% of revenue)</t>
        </is>
      </c>
      <c r="B63" t="inlineStr">
        <is>
          <t>sga_pct</t>
        </is>
      </c>
      <c r="C63" t="inlineStr">
        <is>
          <t>absolute</t>
        </is>
      </c>
      <c r="D63" s="17" t="n">
        <v>37.32840747221724</v>
      </c>
      <c r="E63" t="inlineStr">
        <is>
          <t>-2.0 pts</t>
        </is>
      </c>
      <c r="F63" s="17" t="n">
        <v>33.18896836234023</v>
      </c>
      <c r="G63" t="inlineStr">
        <is>
          <t>-1.0 pts</t>
        </is>
      </c>
      <c r="H63" s="17" t="n">
        <v>29.04952925246318</v>
      </c>
      <c r="I63" t="inlineStr">
        <is>
          <t>+0.0 pts</t>
        </is>
      </c>
      <c r="J63" s="17" t="n">
        <v>24.91009014258615</v>
      </c>
      <c r="K63" t="inlineStr">
        <is>
          <t>+1.0 pts</t>
        </is>
      </c>
      <c r="L63" s="17" t="n">
        <v>20.7481491702536</v>
      </c>
      <c r="M63" t="inlineStr">
        <is>
          <t>+2.0 pts</t>
        </is>
      </c>
    </row>
    <row r="64">
      <c r="A64" t="inlineStr">
        <is>
          <t>D&amp;A (% of beginning net fixed assets)</t>
        </is>
      </c>
      <c r="B64" t="inlineStr">
        <is>
          <t>da_rate</t>
        </is>
      </c>
      <c r="C64" t="inlineStr">
        <is>
          <t>absolute</t>
        </is>
      </c>
      <c r="D64" s="17" t="n">
        <v>31.84464422825257</v>
      </c>
      <c r="E64" t="inlineStr">
        <is>
          <t>-2.0 pts</t>
        </is>
      </c>
      <c r="F64" s="17" t="n">
        <v>30.39888679935706</v>
      </c>
      <c r="G64" t="inlineStr">
        <is>
          <t>-1.0 pts</t>
        </is>
      </c>
      <c r="H64" s="17" t="n">
        <v>29.04952925246318</v>
      </c>
      <c r="I64" t="inlineStr">
        <is>
          <t>+0.0 pts</t>
        </is>
      </c>
      <c r="J64" s="17" t="n">
        <v>27.79251849354111</v>
      </c>
      <c r="K64" t="inlineStr">
        <is>
          <t>+1.0 pts</t>
        </is>
      </c>
      <c r="L64" s="17" t="n">
        <v>26.6239091494929</v>
      </c>
      <c r="M64" t="inlineStr">
        <is>
          <t>+2.0 pts</t>
        </is>
      </c>
    </row>
    <row r="65">
      <c r="A65" t="inlineStr">
        <is>
          <t>Capital expenditures ($M)</t>
        </is>
      </c>
      <c r="B65" t="inlineStr">
        <is>
          <t>capex</t>
        </is>
      </c>
      <c r="C65" t="inlineStr">
        <is>
          <t>relative %</t>
        </is>
      </c>
      <c r="D65" s="17" t="n">
        <v>37.30758557813873</v>
      </c>
      <c r="E65" t="inlineStr">
        <is>
          <t>-20%</t>
        </is>
      </c>
      <c r="F65" s="17" t="n">
        <v>33.17855741530096</v>
      </c>
      <c r="G65" t="inlineStr">
        <is>
          <t>-10%</t>
        </is>
      </c>
      <c r="H65" s="17" t="n">
        <v>29.04952925246318</v>
      </c>
      <c r="I65" t="inlineStr">
        <is>
          <t>+0%</t>
        </is>
      </c>
      <c r="J65" s="17" t="n">
        <v>24.9205010896254</v>
      </c>
      <c r="K65" t="inlineStr">
        <is>
          <t>+10%</t>
        </is>
      </c>
      <c r="L65" s="17" t="n">
        <v>20.72147844670716</v>
      </c>
      <c r="M65" t="inlineStr">
        <is>
          <t>+20%</t>
        </is>
      </c>
    </row>
    <row r="66">
      <c r="A66" t="inlineStr">
        <is>
          <t>Receivable days (DSO, on revenue)</t>
        </is>
      </c>
      <c r="B66" t="inlineStr">
        <is>
          <t>dso</t>
        </is>
      </c>
      <c r="C66" t="inlineStr">
        <is>
          <t>absolute</t>
        </is>
      </c>
      <c r="D66" s="17" t="n">
        <v>29.88380378088764</v>
      </c>
      <c r="E66" t="inlineStr">
        <is>
          <t>-6.0 days</t>
        </is>
      </c>
      <c r="F66" s="17" t="n">
        <v>29.4666665166754</v>
      </c>
      <c r="G66" t="inlineStr">
        <is>
          <t>-3.0 days</t>
        </is>
      </c>
      <c r="H66" s="17" t="n">
        <v>29.04952925246318</v>
      </c>
      <c r="I66" t="inlineStr">
        <is>
          <t>+0.0 days</t>
        </is>
      </c>
      <c r="J66" s="17" t="n">
        <v>28.63239198825095</v>
      </c>
      <c r="K66" t="inlineStr">
        <is>
          <t>+3.0 days</t>
        </is>
      </c>
      <c r="L66" s="17" t="n">
        <v>28.21525472403873</v>
      </c>
      <c r="M66" t="inlineStr">
        <is>
          <t>+6.0 days</t>
        </is>
      </c>
    </row>
    <row r="67">
      <c r="A67" t="inlineStr">
        <is>
          <t>Inventory days (DIO, on cost of revenues)</t>
        </is>
      </c>
      <c r="B67" t="inlineStr">
        <is>
          <t>dio</t>
        </is>
      </c>
      <c r="C67" t="inlineStr">
        <is>
          <t>absolute</t>
        </is>
      </c>
      <c r="D67" s="17" t="n">
        <v>30.18417035426289</v>
      </c>
      <c r="E67" t="inlineStr">
        <is>
          <t>-10.0 days</t>
        </is>
      </c>
      <c r="F67" s="17" t="n">
        <v>29.61684980336303</v>
      </c>
      <c r="G67" t="inlineStr">
        <is>
          <t>-5.0 days</t>
        </is>
      </c>
      <c r="H67" s="17" t="n">
        <v>29.04952925246318</v>
      </c>
      <c r="I67" t="inlineStr">
        <is>
          <t>+0.0 days</t>
        </is>
      </c>
      <c r="J67" s="17" t="n">
        <v>28.48220870156333</v>
      </c>
      <c r="K67" t="inlineStr">
        <is>
          <t>+5.0 days</t>
        </is>
      </c>
      <c r="L67" s="17" t="n">
        <v>27.91488815066346</v>
      </c>
      <c r="M67" t="inlineStr">
        <is>
          <t>+10.0 days</t>
        </is>
      </c>
    </row>
    <row r="68">
      <c r="A68" t="inlineStr">
        <is>
          <t>Payable days (DPO, on cost of revenues)</t>
        </is>
      </c>
      <c r="B68" t="inlineStr">
        <is>
          <t>dpo</t>
        </is>
      </c>
      <c r="C68" t="inlineStr">
        <is>
          <t>absolute</t>
        </is>
      </c>
      <c r="D68" s="17" t="n">
        <v>27.91488815066346</v>
      </c>
      <c r="E68" t="inlineStr">
        <is>
          <t>-10.0 days</t>
        </is>
      </c>
      <c r="F68" s="17" t="n">
        <v>28.48220870156333</v>
      </c>
      <c r="G68" t="inlineStr">
        <is>
          <t>-5.0 days</t>
        </is>
      </c>
      <c r="H68" s="17" t="n">
        <v>29.04952925246318</v>
      </c>
      <c r="I68" t="inlineStr">
        <is>
          <t>+0.0 days</t>
        </is>
      </c>
      <c r="J68" s="17" t="n">
        <v>29.61684980336303</v>
      </c>
      <c r="K68" t="inlineStr">
        <is>
          <t>+5.0 days</t>
        </is>
      </c>
      <c r="L68" s="17" t="n">
        <v>30.18417035426289</v>
      </c>
      <c r="M68" t="inlineStr">
        <is>
          <t>+10.0 days</t>
        </is>
      </c>
    </row>
    <row r="69">
      <c r="A69" t="inlineStr">
        <is>
          <t>Effective tax rate (%)</t>
        </is>
      </c>
      <c r="B69" t="inlineStr">
        <is>
          <t>tax_rate</t>
        </is>
      </c>
      <c r="C69" t="inlineStr">
        <is>
          <t>absolute</t>
        </is>
      </c>
      <c r="D69" s="17" t="n">
        <v>30.07228556701925</v>
      </c>
      <c r="E69" t="inlineStr">
        <is>
          <t>-6.0 pts</t>
        </is>
      </c>
      <c r="F69" s="17" t="n">
        <v>29.56090740974122</v>
      </c>
      <c r="G69" t="inlineStr">
        <is>
          <t>-3.0 pts</t>
        </is>
      </c>
      <c r="H69" s="17" t="n">
        <v>29.04952925246318</v>
      </c>
      <c r="I69" t="inlineStr">
        <is>
          <t>+0.0 pts</t>
        </is>
      </c>
      <c r="J69" s="17" t="n">
        <v>28.53815109518516</v>
      </c>
      <c r="K69" t="inlineStr">
        <is>
          <t>+3.0 pts</t>
        </is>
      </c>
      <c r="L69" s="17" t="n">
        <v>28.02677293790711</v>
      </c>
      <c r="M69" t="inlineStr">
        <is>
          <t>+6.0 pts</t>
        </is>
      </c>
    </row>
    <row r="70"/>
    <row r="71">
      <c r="A71" s="1" t="inlineStr">
        <is>
          <t>Two-variable matrix - two highest-impact operating drivers ($/share)</t>
        </is>
      </c>
    </row>
    <row r="72">
      <c r="A72" s="3" t="inlineStr">
        <is>
          <t>SG&amp;A ex-D&amp;A (% of revenue) \ Automotive sales cash gross margin, ex-D&amp;A (%)</t>
        </is>
      </c>
      <c r="B72" s="3" t="inlineStr">
        <is>
          <t>-4.0 pts</t>
        </is>
      </c>
      <c r="C72" s="3" t="inlineStr">
        <is>
          <t>-2.0 pts</t>
        </is>
      </c>
      <c r="D72" s="3" t="inlineStr">
        <is>
          <t>+0.0 pts</t>
        </is>
      </c>
      <c r="E72" s="3" t="inlineStr">
        <is>
          <t>+2.0 pts</t>
        </is>
      </c>
      <c r="F72" s="3" t="inlineStr">
        <is>
          <t>+4.0 pts</t>
        </is>
      </c>
    </row>
    <row r="73">
      <c r="A73" t="inlineStr">
        <is>
          <t>-2.0 pts</t>
        </is>
      </c>
      <c r="B73" s="17" t="n">
        <v>27.26586834623905</v>
      </c>
      <c r="C73" s="17" t="n">
        <v>32.29713790922815</v>
      </c>
      <c r="D73" s="17" t="n">
        <v>37.32840747221724</v>
      </c>
      <c r="E73" s="17" t="n">
        <v>42.35967703520635</v>
      </c>
      <c r="F73" s="17" t="n">
        <v>47.39094659819546</v>
      </c>
    </row>
    <row r="74">
      <c r="A74" t="inlineStr">
        <is>
          <t>-1.0 pts</t>
        </is>
      </c>
      <c r="B74" s="17" t="n">
        <v>23.12642923636201</v>
      </c>
      <c r="C74" s="17" t="n">
        <v>28.15769879935112</v>
      </c>
      <c r="D74" s="17" t="n">
        <v>33.18896836234023</v>
      </c>
      <c r="E74" s="17" t="n">
        <v>38.22023792532932</v>
      </c>
      <c r="F74" s="17" t="n">
        <v>43.25150748831842</v>
      </c>
    </row>
    <row r="75">
      <c r="A75" t="inlineStr">
        <is>
          <t>+0.0 pts</t>
        </is>
      </c>
      <c r="B75" s="17" t="n">
        <v>18.87073616513915</v>
      </c>
      <c r="C75" s="17" t="n">
        <v>24.01825968947409</v>
      </c>
      <c r="D75" s="17" t="n">
        <v>29.04952925246318</v>
      </c>
      <c r="E75" s="17" t="n">
        <v>34.08079881545228</v>
      </c>
      <c r="F75" s="17" t="n">
        <v>39.11206837844139</v>
      </c>
    </row>
    <row r="76">
      <c r="A76" t="inlineStr">
        <is>
          <t>+1.0 pts</t>
        </is>
      </c>
      <c r="B76" s="17" t="n">
        <v>14.52322255453802</v>
      </c>
      <c r="C76" s="17" t="n">
        <v>19.80944266769638</v>
      </c>
      <c r="D76" s="17" t="n">
        <v>24.91009014258615</v>
      </c>
      <c r="E76" s="17" t="n">
        <v>29.94135970557525</v>
      </c>
      <c r="F76" s="17" t="n">
        <v>34.97262926856435</v>
      </c>
    </row>
    <row r="77">
      <c r="A77" t="inlineStr">
        <is>
          <t>+2.0 pts</t>
        </is>
      </c>
      <c r="B77" s="17" t="n">
        <v>9.58199122969792</v>
      </c>
      <c r="C77" s="17" t="n">
        <v>15.50781122312374</v>
      </c>
      <c r="D77" s="17" t="n">
        <v>20.7481491702536</v>
      </c>
      <c r="E77" s="17" t="n">
        <v>25.80192059569822</v>
      </c>
      <c r="F77" s="17" t="n">
        <v>30.83319015868732</v>
      </c>
    </row>
    <row r="78"/>
    <row r="79">
      <c r="A79" s="1" t="inlineStr">
        <is>
          <t>What would have to be true for today's market price to be correct?</t>
        </is>
      </c>
    </row>
    <row r="80">
      <c r="A80" s="3" t="inlineStr">
        <is>
          <t>Lever (moved alone, all else at scenario values)</t>
        </is>
      </c>
      <c r="B80" s="3" t="inlineStr">
        <is>
          <t>Model assumption</t>
        </is>
      </c>
      <c r="C80" s="3" t="inlineStr">
        <is>
          <t>Required for $378/share</t>
        </is>
      </c>
      <c r="D80" s="3" t="inlineStr">
        <is>
          <t>Comment</t>
        </is>
      </c>
    </row>
    <row r="81">
      <c r="A81" t="inlineStr">
        <is>
          <t>Cost of equity</t>
        </is>
      </c>
      <c r="B81" t="inlineStr">
        <is>
          <t>10.38%</t>
        </is>
      </c>
      <c r="C81" t="inlineStr">
        <is>
          <t>3.58%</t>
        </is>
      </c>
      <c r="D81" t="inlineStr">
        <is>
          <t>Discount rate that equates model FCFE with the market price</t>
        </is>
      </c>
    </row>
    <row r="82">
      <c r="A82" t="inlineStr">
        <is>
          <t>Terminal FCFE growth</t>
        </is>
      </c>
      <c r="B82" t="inlineStr">
        <is>
          <t>3.00%</t>
        </is>
      </c>
      <c r="C82" t="inlineStr">
        <is>
          <t>9.80%</t>
        </is>
      </c>
      <c r="D82" t="inlineStr">
        <is>
          <t>Perpetual growth needed (must stay below cost of equity)</t>
        </is>
      </c>
    </row>
    <row r="83">
      <c r="A83" t="inlineStr">
        <is>
          <t>Robotaxi / autonomy revenue, FY2030E</t>
        </is>
      </c>
      <c r="B83" t="inlineStr">
        <is>
          <t>$8.0B in FY2030E</t>
        </is>
      </c>
      <c r="C83" t="inlineStr">
        <is>
          <t>$451B</t>
        </is>
      </c>
      <c r="D83" t="inlineStr">
        <is>
          <t>All years scaled by the same factor; margins unchanged</t>
        </is>
      </c>
    </row>
    <row r="84">
      <c r="A84" t="inlineStr">
        <is>
          <t>Automotive sales cash gross margin (all years)</t>
        </is>
      </c>
      <c r="B84" t="inlineStr">
        <is>
          <t>22.0% in FY2030E</t>
        </is>
      </c>
      <c r="C84" t="inlineStr">
        <is>
          <t>Not achievable within tested range</t>
        </is>
      </c>
      <c r="D84" t="inlineStr">
        <is>
          <t>Parallel shift in every year; value at range limit: $180/share</t>
        </is>
      </c>
    </row>
    <row r="85">
      <c r="A85" t="inlineStr">
        <is>
          <t>Model 3/Y deliveries (all years)</t>
        </is>
      </c>
      <c r="B85" t="inlineStr">
        <is>
          <t>1.90M units in FY2030E</t>
        </is>
      </c>
      <c r="C85" t="inlineStr">
        <is>
          <t>Not achievable within tested range</t>
        </is>
      </c>
      <c r="D85" t="inlineStr">
        <is>
          <t>Scales volumes only; capex held at the scenario path; value at range limit: $323/share</t>
        </is>
      </c>
    </row>
    <row r="86">
      <c r="A86" t="inlineStr">
        <is>
          <t>Energy storage deployed (all years)</t>
        </is>
      </c>
      <c r="B86" t="inlineStr">
        <is>
          <t>95 GWh in FY2030E</t>
        </is>
      </c>
      <c r="C86" t="inlineStr">
        <is>
          <t>2,622 GWh in FY2030E (x27.60)</t>
        </is>
      </c>
      <c r="D86" t="inlineStr">
        <is>
          <t>Scales GWh; price per GWh and margin unchanged</t>
        </is>
      </c>
    </row>
    <row r="87">
      <c r="A87" t="inlineStr">
        <is>
          <t>Services &amp; other growth (all years)</t>
        </is>
      </c>
      <c r="B87" t="inlineStr">
        <is>
          <t>14% in FY2030E</t>
        </is>
      </c>
      <c r="C87" t="inlineStr">
        <is>
          <t>+126 pts per year</t>
        </is>
      </c>
      <c r="D87" t="inlineStr">
        <is>
          <t>Parallel shift in annual growth</t>
        </is>
      </c>
    </row>
    <row r="88">
      <c r="A88" t="inlineStr">
        <is>
          <t>Capital expenditures (all years)</t>
        </is>
      </c>
      <c r="B88" t="inlineStr">
        <is>
          <t>$15.0B in FY2030E</t>
        </is>
      </c>
      <c r="C88" t="inlineStr">
        <is>
          <t>Not achievable within tested range</t>
        </is>
      </c>
      <c r="D88" t="inlineStr">
        <is>
          <t>Lower capex with unchanged growth - an inconsistent, upper-bound test; value at range limit: $70/share</t>
        </is>
      </c>
    </row>
    <row r="89">
      <c r="A89" t="inlineStr">
        <is>
          <t>Terminal capex / D&amp;A</t>
        </is>
      </c>
      <c r="B89" t="inlineStr">
        <is>
          <t>1.15x</t>
        </is>
      </c>
      <c r="C89" t="inlineStr">
        <is>
          <t>Not achievable within tested range</t>
        </is>
      </c>
      <c r="D89" t="inlineStr">
        <is>
          <t>Below 1.0x means the asset base shrinks in perpetuity; value at range limit: $65/share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25" customWidth="1" min="3" max="3"/>
    <col width="10" customWidth="1" min="4" max="4"/>
    <col width="10" customWidth="1" min="5" max="5"/>
    <col width="43" customWidth="1" min="6" max="6"/>
  </cols>
  <sheetData>
    <row r="1">
      <c r="A1" s="1" t="inlineStr">
        <is>
          <t>Model integrity checks - summary</t>
        </is>
      </c>
    </row>
    <row r="2">
      <c r="A2" s="3" t="inlineStr">
        <is>
          <t>Check</t>
        </is>
      </c>
      <c r="B2" s="3" t="inlineStr">
        <is>
          <t>All years pass</t>
        </is>
      </c>
      <c r="C2" s="3" t="inlineStr">
        <is>
          <t>Years tested</t>
        </is>
      </c>
    </row>
    <row r="3">
      <c r="A3" t="inlineStr">
        <is>
          <t>1. Assets = liabilities + equity</t>
        </is>
      </c>
      <c r="B3" t="b">
        <v>1</v>
      </c>
      <c r="C3" s="4" t="n">
        <v>5</v>
      </c>
    </row>
    <row r="4">
      <c r="A4" t="inlineStr">
        <is>
          <t>2. Cash-flow ending cash = balance-sheet cash</t>
        </is>
      </c>
      <c r="B4" t="b">
        <v>1</v>
      </c>
      <c r="C4" s="4" t="n">
        <v>5</v>
      </c>
    </row>
    <row r="5">
      <c r="A5" t="inlineStr">
        <is>
          <t>3. Fixed-asset (PP&amp;E) roll-forward ties</t>
        </is>
      </c>
      <c r="B5" t="b">
        <v>1</v>
      </c>
      <c r="C5" s="4" t="n">
        <v>5</v>
      </c>
    </row>
    <row r="6">
      <c r="A6" t="inlineStr">
        <is>
          <t>4a. Debt roll-forward ties</t>
        </is>
      </c>
      <c r="B6" t="b">
        <v>1</v>
      </c>
      <c r="C6" s="4" t="n">
        <v>5</v>
      </c>
    </row>
    <row r="7">
      <c r="A7" t="inlineStr">
        <is>
          <t>4b. Finance &amp; operating lease roll-forwards tie</t>
        </is>
      </c>
      <c r="B7" t="b">
        <v>1</v>
      </c>
      <c r="C7" s="4" t="n">
        <v>5</v>
      </c>
    </row>
    <row r="8">
      <c r="A8" t="inlineStr">
        <is>
          <t>4c. Revolver roll-forward ties</t>
        </is>
      </c>
      <c r="B8" t="b">
        <v>1</v>
      </c>
      <c r="C8" s="4" t="n">
        <v>5</v>
      </c>
    </row>
    <row r="9">
      <c r="A9" t="inlineStr">
        <is>
          <t>5. Share-count roll-forward ties</t>
        </is>
      </c>
      <c r="B9" t="b">
        <v>1</v>
      </c>
      <c r="C9" s="4" t="n">
        <v>5</v>
      </c>
    </row>
    <row r="10">
      <c r="A10" t="inlineStr">
        <is>
          <t>6. Cash &gt;= minimum (after any revolver financing)</t>
        </is>
      </c>
      <c r="B10" t="b">
        <v>1</v>
      </c>
      <c r="C10" s="4" t="n">
        <v>5</v>
      </c>
    </row>
    <row r="11">
      <c r="A11" t="inlineStr">
        <is>
          <t>Revenue build reconciles to total revenue</t>
        </is>
      </c>
      <c r="B11" t="b">
        <v>1</v>
      </c>
      <c r="C11" s="4" t="n">
        <v>5</v>
      </c>
    </row>
    <row r="12">
      <c r="A12" t="inlineStr">
        <is>
          <t>7. Terminal growth &lt; cost of equity</t>
        </is>
      </c>
      <c r="B12" t="b">
        <v>1</v>
      </c>
      <c r="C12" s="4" t="n">
        <v>1</v>
      </c>
    </row>
    <row r="13"/>
    <row r="14">
      <c r="A14" s="1" t="inlineStr">
        <is>
          <t>Model integrity checks - every forecast year</t>
        </is>
      </c>
    </row>
    <row r="15">
      <c r="A15" s="3" t="inlineStr">
        <is>
          <t>Check</t>
        </is>
      </c>
      <c r="B15" s="3" t="inlineStr">
        <is>
          <t>Year</t>
        </is>
      </c>
      <c r="C15" s="3" t="inlineStr">
        <is>
          <t>Difference</t>
        </is>
      </c>
      <c r="D15" s="3" t="inlineStr">
        <is>
          <t>Pass</t>
        </is>
      </c>
      <c r="E15" s="3" t="inlineStr">
        <is>
          <t>Material</t>
        </is>
      </c>
      <c r="F15" s="3" t="inlineStr">
        <is>
          <t>Detail</t>
        </is>
      </c>
    </row>
    <row r="16">
      <c r="A16" s="20" t="inlineStr">
        <is>
          <t>1. Assets = liabilities + equity</t>
        </is>
      </c>
      <c r="B16" s="21" t="n">
        <v>2026</v>
      </c>
      <c r="C16" s="22" t="n">
        <v>-2.91038304567337e-11</v>
      </c>
      <c r="D16" s="20" t="b">
        <v>1</v>
      </c>
      <c r="E16" s="20" t="b">
        <v>1</v>
      </c>
      <c r="F16" s="20" t="inlineStr"/>
    </row>
    <row r="17">
      <c r="A17" s="20" t="inlineStr">
        <is>
          <t>2. Cash-flow ending cash = balance-sheet cash</t>
        </is>
      </c>
      <c r="B17" s="21" t="n">
        <v>2026</v>
      </c>
      <c r="C17" s="22" t="n">
        <v>0</v>
      </c>
      <c r="D17" s="20" t="b">
        <v>1</v>
      </c>
      <c r="E17" s="20" t="b">
        <v>1</v>
      </c>
      <c r="F17" s="20" t="inlineStr"/>
    </row>
    <row r="18">
      <c r="A18" s="20" t="inlineStr">
        <is>
          <t>3. Fixed-asset (PP&amp;E) roll-forward ties</t>
        </is>
      </c>
      <c r="B18" s="21" t="n">
        <v>2026</v>
      </c>
      <c r="C18" s="22" t="n">
        <v>0</v>
      </c>
      <c r="D18" s="20" t="b">
        <v>1</v>
      </c>
      <c r="E18" s="20" t="b">
        <v>1</v>
      </c>
      <c r="F18" s="20" t="inlineStr"/>
    </row>
    <row r="19">
      <c r="A19" s="20" t="inlineStr">
        <is>
          <t>4a. Debt roll-forward ties</t>
        </is>
      </c>
      <c r="B19" s="21" t="n">
        <v>2026</v>
      </c>
      <c r="C19" s="22" t="n">
        <v>0</v>
      </c>
      <c r="D19" s="20" t="b">
        <v>1</v>
      </c>
      <c r="E19" s="20" t="b">
        <v>1</v>
      </c>
      <c r="F19" s="20" t="inlineStr"/>
    </row>
    <row r="20">
      <c r="A20" s="20" t="inlineStr">
        <is>
          <t>4b. Finance &amp; operating lease roll-forwards tie</t>
        </is>
      </c>
      <c r="B20" s="21" t="n">
        <v>2026</v>
      </c>
      <c r="C20" s="22" t="n">
        <v>0</v>
      </c>
      <c r="D20" s="20" t="b">
        <v>1</v>
      </c>
      <c r="E20" s="20" t="b">
        <v>1</v>
      </c>
      <c r="F20" s="20" t="inlineStr"/>
    </row>
    <row r="21">
      <c r="A21" s="20" t="inlineStr">
        <is>
          <t>4c. Revolver roll-forward ties</t>
        </is>
      </c>
      <c r="B21" s="21" t="n">
        <v>2026</v>
      </c>
      <c r="C21" s="22" t="n">
        <v>0</v>
      </c>
      <c r="D21" s="20" t="b">
        <v>1</v>
      </c>
      <c r="E21" s="20" t="b">
        <v>1</v>
      </c>
      <c r="F21" s="20" t="inlineStr"/>
    </row>
    <row r="22">
      <c r="A22" s="20" t="inlineStr">
        <is>
          <t>5. Share-count roll-forward ties</t>
        </is>
      </c>
      <c r="B22" s="21" t="n">
        <v>2026</v>
      </c>
      <c r="C22" s="22" t="n">
        <v>0</v>
      </c>
      <c r="D22" s="20" t="b">
        <v>1</v>
      </c>
      <c r="E22" s="20" t="b">
        <v>1</v>
      </c>
      <c r="F22" s="20" t="inlineStr"/>
    </row>
    <row r="23">
      <c r="A23" s="20" t="inlineStr">
        <is>
          <t>6. Cash &gt;= minimum (after any revolver financing)</t>
        </is>
      </c>
      <c r="B23" s="21" t="n">
        <v>2026</v>
      </c>
      <c r="C23" s="22" t="n">
        <v>-0</v>
      </c>
      <c r="D23" s="20" t="b">
        <v>1</v>
      </c>
      <c r="E23" s="20" t="b">
        <v>1</v>
      </c>
      <c r="F23" s="20" t="inlineStr">
        <is>
          <t>cash 33,693 vs minimum 15,514; revolver 0</t>
        </is>
      </c>
    </row>
    <row r="24">
      <c r="A24" s="20" t="inlineStr">
        <is>
          <t>Revenue build reconciles to total revenue</t>
        </is>
      </c>
      <c r="B24" s="21" t="n">
        <v>2026</v>
      </c>
      <c r="C24" s="22" t="n">
        <v>0</v>
      </c>
      <c r="D24" s="20" t="b">
        <v>1</v>
      </c>
      <c r="E24" s="20" t="b">
        <v>1</v>
      </c>
      <c r="F24" s="20" t="inlineStr"/>
    </row>
    <row r="25">
      <c r="A25" s="20" t="inlineStr">
        <is>
          <t>1. Assets = liabilities + equity</t>
        </is>
      </c>
      <c r="B25" s="21" t="n">
        <v>2027</v>
      </c>
      <c r="C25" s="22" t="n">
        <v>0</v>
      </c>
      <c r="D25" s="20" t="b">
        <v>1</v>
      </c>
      <c r="E25" s="20" t="b">
        <v>1</v>
      </c>
      <c r="F25" s="20" t="inlineStr"/>
    </row>
    <row r="26">
      <c r="A26" s="20" t="inlineStr">
        <is>
          <t>2. Cash-flow ending cash = balance-sheet cash</t>
        </is>
      </c>
      <c r="B26" s="21" t="n">
        <v>2027</v>
      </c>
      <c r="C26" s="22" t="n">
        <v>3.637978807091713e-12</v>
      </c>
      <c r="D26" s="20" t="b">
        <v>1</v>
      </c>
      <c r="E26" s="20" t="b">
        <v>1</v>
      </c>
      <c r="F26" s="20" t="inlineStr"/>
    </row>
    <row r="27">
      <c r="A27" s="20" t="inlineStr">
        <is>
          <t>3. Fixed-asset (PP&amp;E) roll-forward ties</t>
        </is>
      </c>
      <c r="B27" s="21" t="n">
        <v>2027</v>
      </c>
      <c r="C27" s="22" t="n">
        <v>0</v>
      </c>
      <c r="D27" s="20" t="b">
        <v>1</v>
      </c>
      <c r="E27" s="20" t="b">
        <v>1</v>
      </c>
      <c r="F27" s="20" t="inlineStr"/>
    </row>
    <row r="28">
      <c r="A28" s="20" t="inlineStr">
        <is>
          <t>4a. Debt roll-forward ties</t>
        </is>
      </c>
      <c r="B28" s="21" t="n">
        <v>2027</v>
      </c>
      <c r="C28" s="22" t="n">
        <v>0</v>
      </c>
      <c r="D28" s="20" t="b">
        <v>1</v>
      </c>
      <c r="E28" s="20" t="b">
        <v>1</v>
      </c>
      <c r="F28" s="20" t="inlineStr"/>
    </row>
    <row r="29">
      <c r="A29" s="20" t="inlineStr">
        <is>
          <t>4b. Finance &amp; operating lease roll-forwards tie</t>
        </is>
      </c>
      <c r="B29" s="21" t="n">
        <v>2027</v>
      </c>
      <c r="C29" s="22" t="n">
        <v>0</v>
      </c>
      <c r="D29" s="20" t="b">
        <v>1</v>
      </c>
      <c r="E29" s="20" t="b">
        <v>1</v>
      </c>
      <c r="F29" s="20" t="inlineStr"/>
    </row>
    <row r="30">
      <c r="A30" s="20" t="inlineStr">
        <is>
          <t>4c. Revolver roll-forward ties</t>
        </is>
      </c>
      <c r="B30" s="21" t="n">
        <v>2027</v>
      </c>
      <c r="C30" s="22" t="n">
        <v>0</v>
      </c>
      <c r="D30" s="20" t="b">
        <v>1</v>
      </c>
      <c r="E30" s="20" t="b">
        <v>1</v>
      </c>
      <c r="F30" s="20" t="inlineStr"/>
    </row>
    <row r="31">
      <c r="A31" s="20" t="inlineStr">
        <is>
          <t>5. Share-count roll-forward ties</t>
        </is>
      </c>
      <c r="B31" s="21" t="n">
        <v>2027</v>
      </c>
      <c r="C31" s="22" t="n">
        <v>0</v>
      </c>
      <c r="D31" s="20" t="b">
        <v>1</v>
      </c>
      <c r="E31" s="20" t="b">
        <v>1</v>
      </c>
      <c r="F31" s="20" t="inlineStr"/>
    </row>
    <row r="32">
      <c r="A32" s="20" t="inlineStr">
        <is>
          <t>6. Cash &gt;= minimum (after any revolver financing)</t>
        </is>
      </c>
      <c r="B32" s="21" t="n">
        <v>2027</v>
      </c>
      <c r="C32" s="22" t="n">
        <v>-0</v>
      </c>
      <c r="D32" s="20" t="b">
        <v>1</v>
      </c>
      <c r="E32" s="20" t="b">
        <v>1</v>
      </c>
      <c r="F32" s="20" t="inlineStr">
        <is>
          <t>cash 29,197 vs minimum 17,080; revolver 0</t>
        </is>
      </c>
    </row>
    <row r="33">
      <c r="A33" s="20" t="inlineStr">
        <is>
          <t>Revenue build reconciles to total revenue</t>
        </is>
      </c>
      <c r="B33" s="21" t="n">
        <v>2027</v>
      </c>
      <c r="C33" s="22" t="n">
        <v>0</v>
      </c>
      <c r="D33" s="20" t="b">
        <v>1</v>
      </c>
      <c r="E33" s="20" t="b">
        <v>1</v>
      </c>
      <c r="F33" s="20" t="inlineStr"/>
    </row>
    <row r="34">
      <c r="A34" s="20" t="inlineStr">
        <is>
          <t>1. Assets = liabilities + equity</t>
        </is>
      </c>
      <c r="B34" s="21" t="n">
        <v>2028</v>
      </c>
      <c r="C34" s="22" t="n">
        <v>-2.91038304567337e-11</v>
      </c>
      <c r="D34" s="20" t="b">
        <v>1</v>
      </c>
      <c r="E34" s="20" t="b">
        <v>1</v>
      </c>
      <c r="F34" s="20" t="inlineStr"/>
    </row>
    <row r="35">
      <c r="A35" s="20" t="inlineStr">
        <is>
          <t>2. Cash-flow ending cash = balance-sheet cash</t>
        </is>
      </c>
      <c r="B35" s="21" t="n">
        <v>2028</v>
      </c>
      <c r="C35" s="22" t="n">
        <v>-3.637978807091713e-12</v>
      </c>
      <c r="D35" s="20" t="b">
        <v>1</v>
      </c>
      <c r="E35" s="20" t="b">
        <v>1</v>
      </c>
      <c r="F35" s="20" t="inlineStr"/>
    </row>
    <row r="36">
      <c r="A36" s="20" t="inlineStr">
        <is>
          <t>3. Fixed-asset (PP&amp;E) roll-forward ties</t>
        </is>
      </c>
      <c r="B36" s="21" t="n">
        <v>2028</v>
      </c>
      <c r="C36" s="22" t="n">
        <v>0</v>
      </c>
      <c r="D36" s="20" t="b">
        <v>1</v>
      </c>
      <c r="E36" s="20" t="b">
        <v>1</v>
      </c>
      <c r="F36" s="20" t="inlineStr"/>
    </row>
    <row r="37">
      <c r="A37" s="20" t="inlineStr">
        <is>
          <t>4a. Debt roll-forward ties</t>
        </is>
      </c>
      <c r="B37" s="21" t="n">
        <v>2028</v>
      </c>
      <c r="C37" s="22" t="n">
        <v>0</v>
      </c>
      <c r="D37" s="20" t="b">
        <v>1</v>
      </c>
      <c r="E37" s="20" t="b">
        <v>1</v>
      </c>
      <c r="F37" s="20" t="inlineStr"/>
    </row>
    <row r="38">
      <c r="A38" s="20" t="inlineStr">
        <is>
          <t>4b. Finance &amp; operating lease roll-forwards tie</t>
        </is>
      </c>
      <c r="B38" s="21" t="n">
        <v>2028</v>
      </c>
      <c r="C38" s="22" t="n">
        <v>0</v>
      </c>
      <c r="D38" s="20" t="b">
        <v>1</v>
      </c>
      <c r="E38" s="20" t="b">
        <v>1</v>
      </c>
      <c r="F38" s="20" t="inlineStr"/>
    </row>
    <row r="39">
      <c r="A39" s="20" t="inlineStr">
        <is>
          <t>4c. Revolver roll-forward ties</t>
        </is>
      </c>
      <c r="B39" s="21" t="n">
        <v>2028</v>
      </c>
      <c r="C39" s="22" t="n">
        <v>0</v>
      </c>
      <c r="D39" s="20" t="b">
        <v>1</v>
      </c>
      <c r="E39" s="20" t="b">
        <v>1</v>
      </c>
      <c r="F39" s="20" t="inlineStr"/>
    </row>
    <row r="40">
      <c r="A40" s="20" t="inlineStr">
        <is>
          <t>5. Share-count roll-forward ties</t>
        </is>
      </c>
      <c r="B40" s="21" t="n">
        <v>2028</v>
      </c>
      <c r="C40" s="22" t="n">
        <v>0</v>
      </c>
      <c r="D40" s="20" t="b">
        <v>1</v>
      </c>
      <c r="E40" s="20" t="b">
        <v>1</v>
      </c>
      <c r="F40" s="20" t="inlineStr"/>
    </row>
    <row r="41">
      <c r="A41" s="20" t="inlineStr">
        <is>
          <t>6. Cash &gt;= minimum (after any revolver financing)</t>
        </is>
      </c>
      <c r="B41" s="21" t="n">
        <v>2028</v>
      </c>
      <c r="C41" s="22" t="n">
        <v>-0</v>
      </c>
      <c r="D41" s="20" t="b">
        <v>1</v>
      </c>
      <c r="E41" s="20" t="b">
        <v>1</v>
      </c>
      <c r="F41" s="20" t="inlineStr">
        <is>
          <t>cash 31,998 vs minimum 19,028; revolver 0</t>
        </is>
      </c>
    </row>
    <row r="42">
      <c r="A42" s="20" t="inlineStr">
        <is>
          <t>Revenue build reconciles to total revenue</t>
        </is>
      </c>
      <c r="B42" s="21" t="n">
        <v>2028</v>
      </c>
      <c r="C42" s="22" t="n">
        <v>0</v>
      </c>
      <c r="D42" s="20" t="b">
        <v>1</v>
      </c>
      <c r="E42" s="20" t="b">
        <v>1</v>
      </c>
      <c r="F42" s="20" t="inlineStr"/>
    </row>
    <row r="43">
      <c r="A43" s="20" t="inlineStr">
        <is>
          <t>1. Assets = liabilities + equity</t>
        </is>
      </c>
      <c r="B43" s="21" t="n">
        <v>2029</v>
      </c>
      <c r="C43" s="22" t="n">
        <v>0</v>
      </c>
      <c r="D43" s="20" t="b">
        <v>1</v>
      </c>
      <c r="E43" s="20" t="b">
        <v>1</v>
      </c>
      <c r="F43" s="20" t="inlineStr"/>
    </row>
    <row r="44">
      <c r="A44" s="20" t="inlineStr">
        <is>
          <t>2. Cash-flow ending cash = balance-sheet cash</t>
        </is>
      </c>
      <c r="B44" s="21" t="n">
        <v>2029</v>
      </c>
      <c r="C44" s="22" t="n">
        <v>0</v>
      </c>
      <c r="D44" s="20" t="b">
        <v>1</v>
      </c>
      <c r="E44" s="20" t="b">
        <v>1</v>
      </c>
      <c r="F44" s="20" t="inlineStr"/>
    </row>
    <row r="45">
      <c r="A45" s="20" t="inlineStr">
        <is>
          <t>3. Fixed-asset (PP&amp;E) roll-forward ties</t>
        </is>
      </c>
      <c r="B45" s="21" t="n">
        <v>2029</v>
      </c>
      <c r="C45" s="22" t="n">
        <v>0</v>
      </c>
      <c r="D45" s="20" t="b">
        <v>1</v>
      </c>
      <c r="E45" s="20" t="b">
        <v>1</v>
      </c>
      <c r="F45" s="20" t="inlineStr"/>
    </row>
    <row r="46">
      <c r="A46" s="20" t="inlineStr">
        <is>
          <t>4a. Debt roll-forward ties</t>
        </is>
      </c>
      <c r="B46" s="21" t="n">
        <v>2029</v>
      </c>
      <c r="C46" s="22" t="n">
        <v>0</v>
      </c>
      <c r="D46" s="20" t="b">
        <v>1</v>
      </c>
      <c r="E46" s="20" t="b">
        <v>1</v>
      </c>
      <c r="F46" s="20" t="inlineStr"/>
    </row>
    <row r="47">
      <c r="A47" s="20" t="inlineStr">
        <is>
          <t>4b. Finance &amp; operating lease roll-forwards tie</t>
        </is>
      </c>
      <c r="B47" s="21" t="n">
        <v>2029</v>
      </c>
      <c r="C47" s="22" t="n">
        <v>0</v>
      </c>
      <c r="D47" s="20" t="b">
        <v>1</v>
      </c>
      <c r="E47" s="20" t="b">
        <v>1</v>
      </c>
      <c r="F47" s="20" t="inlineStr"/>
    </row>
    <row r="48">
      <c r="A48" s="20" t="inlineStr">
        <is>
          <t>4c. Revolver roll-forward ties</t>
        </is>
      </c>
      <c r="B48" s="21" t="n">
        <v>2029</v>
      </c>
      <c r="C48" s="22" t="n">
        <v>0</v>
      </c>
      <c r="D48" s="20" t="b">
        <v>1</v>
      </c>
      <c r="E48" s="20" t="b">
        <v>1</v>
      </c>
      <c r="F48" s="20" t="inlineStr"/>
    </row>
    <row r="49">
      <c r="A49" s="20" t="inlineStr">
        <is>
          <t>5. Share-count roll-forward ties</t>
        </is>
      </c>
      <c r="B49" s="21" t="n">
        <v>2029</v>
      </c>
      <c r="C49" s="22" t="n">
        <v>0</v>
      </c>
      <c r="D49" s="20" t="b">
        <v>1</v>
      </c>
      <c r="E49" s="20" t="b">
        <v>1</v>
      </c>
      <c r="F49" s="20" t="inlineStr"/>
    </row>
    <row r="50">
      <c r="A50" s="20" t="inlineStr">
        <is>
          <t>6. Cash &gt;= minimum (after any revolver financing)</t>
        </is>
      </c>
      <c r="B50" s="21" t="n">
        <v>2029</v>
      </c>
      <c r="C50" s="22" t="n">
        <v>-0</v>
      </c>
      <c r="D50" s="20" t="b">
        <v>1</v>
      </c>
      <c r="E50" s="20" t="b">
        <v>1</v>
      </c>
      <c r="F50" s="20" t="inlineStr">
        <is>
          <t>cash 36,688 vs minimum 21,087; revolver 0</t>
        </is>
      </c>
    </row>
    <row r="51">
      <c r="A51" s="20" t="inlineStr">
        <is>
          <t>Revenue build reconciles to total revenue</t>
        </is>
      </c>
      <c r="B51" s="21" t="n">
        <v>2029</v>
      </c>
      <c r="C51" s="22" t="n">
        <v>0</v>
      </c>
      <c r="D51" s="20" t="b">
        <v>1</v>
      </c>
      <c r="E51" s="20" t="b">
        <v>1</v>
      </c>
      <c r="F51" s="20" t="inlineStr"/>
    </row>
    <row r="52">
      <c r="A52" s="20" t="inlineStr">
        <is>
          <t>1. Assets = liabilities + equity</t>
        </is>
      </c>
      <c r="B52" s="21" t="n">
        <v>2030</v>
      </c>
      <c r="C52" s="22" t="n">
        <v>-2.91038304567337e-11</v>
      </c>
      <c r="D52" s="20" t="b">
        <v>1</v>
      </c>
      <c r="E52" s="20" t="b">
        <v>1</v>
      </c>
      <c r="F52" s="20" t="inlineStr"/>
    </row>
    <row r="53">
      <c r="A53" s="20" t="inlineStr">
        <is>
          <t>2. Cash-flow ending cash = balance-sheet cash</t>
        </is>
      </c>
      <c r="B53" s="21" t="n">
        <v>2030</v>
      </c>
      <c r="C53" s="22" t="n">
        <v>0</v>
      </c>
      <c r="D53" s="20" t="b">
        <v>1</v>
      </c>
      <c r="E53" s="20" t="b">
        <v>1</v>
      </c>
      <c r="F53" s="20" t="inlineStr"/>
    </row>
    <row r="54">
      <c r="A54" s="20" t="inlineStr">
        <is>
          <t>3. Fixed-asset (PP&amp;E) roll-forward ties</t>
        </is>
      </c>
      <c r="B54" s="21" t="n">
        <v>2030</v>
      </c>
      <c r="C54" s="22" t="n">
        <v>0</v>
      </c>
      <c r="D54" s="20" t="b">
        <v>1</v>
      </c>
      <c r="E54" s="20" t="b">
        <v>1</v>
      </c>
      <c r="F54" s="20" t="inlineStr"/>
    </row>
    <row r="55">
      <c r="A55" s="20" t="inlineStr">
        <is>
          <t>4a. Debt roll-forward ties</t>
        </is>
      </c>
      <c r="B55" s="21" t="n">
        <v>2030</v>
      </c>
      <c r="C55" s="22" t="n">
        <v>0</v>
      </c>
      <c r="D55" s="20" t="b">
        <v>1</v>
      </c>
      <c r="E55" s="20" t="b">
        <v>1</v>
      </c>
      <c r="F55" s="20" t="inlineStr"/>
    </row>
    <row r="56">
      <c r="A56" s="20" t="inlineStr">
        <is>
          <t>4b. Finance &amp; operating lease roll-forwards tie</t>
        </is>
      </c>
      <c r="B56" s="21" t="n">
        <v>2030</v>
      </c>
      <c r="C56" s="22" t="n">
        <v>0</v>
      </c>
      <c r="D56" s="20" t="b">
        <v>1</v>
      </c>
      <c r="E56" s="20" t="b">
        <v>1</v>
      </c>
      <c r="F56" s="20" t="inlineStr"/>
    </row>
    <row r="57">
      <c r="A57" s="20" t="inlineStr">
        <is>
          <t>4c. Revolver roll-forward ties</t>
        </is>
      </c>
      <c r="B57" s="21" t="n">
        <v>2030</v>
      </c>
      <c r="C57" s="22" t="n">
        <v>0</v>
      </c>
      <c r="D57" s="20" t="b">
        <v>1</v>
      </c>
      <c r="E57" s="20" t="b">
        <v>1</v>
      </c>
      <c r="F57" s="20" t="inlineStr"/>
    </row>
    <row r="58">
      <c r="A58" s="20" t="inlineStr">
        <is>
          <t>5. Share-count roll-forward ties</t>
        </is>
      </c>
      <c r="B58" s="21" t="n">
        <v>2030</v>
      </c>
      <c r="C58" s="22" t="n">
        <v>0</v>
      </c>
      <c r="D58" s="20" t="b">
        <v>1</v>
      </c>
      <c r="E58" s="20" t="b">
        <v>1</v>
      </c>
      <c r="F58" s="20" t="inlineStr"/>
    </row>
    <row r="59">
      <c r="A59" s="20" t="inlineStr">
        <is>
          <t>6. Cash &gt;= minimum (after any revolver financing)</t>
        </is>
      </c>
      <c r="B59" s="21" t="n">
        <v>2030</v>
      </c>
      <c r="C59" s="22" t="n">
        <v>-0</v>
      </c>
      <c r="D59" s="20" t="b">
        <v>1</v>
      </c>
      <c r="E59" s="20" t="b">
        <v>1</v>
      </c>
      <c r="F59" s="20" t="inlineStr">
        <is>
          <t>cash 47,816 vs minimum 23,021; revolver 0</t>
        </is>
      </c>
    </row>
    <row r="60">
      <c r="A60" s="20" t="inlineStr">
        <is>
          <t>Revenue build reconciles to total revenue</t>
        </is>
      </c>
      <c r="B60" s="21" t="n">
        <v>2030</v>
      </c>
      <c r="C60" s="22" t="n">
        <v>0</v>
      </c>
      <c r="D60" s="20" t="b">
        <v>1</v>
      </c>
      <c r="E60" s="20" t="b">
        <v>1</v>
      </c>
      <c r="F60" s="20" t="inlineStr"/>
    </row>
    <row r="61">
      <c r="A61" s="20" t="inlineStr">
        <is>
          <t>7. Terminal growth &lt; cost of equity</t>
        </is>
      </c>
      <c r="B61" s="20" t="inlineStr">
        <is>
          <t>Terminal</t>
        </is>
      </c>
      <c r="C61" s="22" t="n">
        <v>-0.07377503555633766</v>
      </c>
      <c r="D61" s="20" t="b">
        <v>1</v>
      </c>
      <c r="E61" s="20" t="b">
        <v>1</v>
      </c>
      <c r="F61" s="20" t="inlineStr">
        <is>
          <t>g = 3.00%, cost of equity = 10.38%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2026-10-19T23:16:11Z</dcterms:created>
  <dcterms:modified xmlns:dcterms="http://purl.org/dc/terms/" xmlns:xsi="http://www.w3.org/2001/XMLSchema-instance" xsi:type="dcterms:W3CDTF">2026-10-19T23:16:11Z</dcterms:modified>
</cp:coreProperties>
</file>